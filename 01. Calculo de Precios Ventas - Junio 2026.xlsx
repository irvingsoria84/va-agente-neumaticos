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713e9864da5dd4/02 VA Company Supply/2.2 Contable ^0 Administrativo V.A Company Supply Spa/2.2.1 Control Compras y Ventas/Periodo 2026/"/>
    </mc:Choice>
  </mc:AlternateContent>
  <xr:revisionPtr revIDLastSave="4861" documentId="13_ncr:1_{726DE239-A283-4545-81DB-1B44518B60FB}" xr6:coauthVersionLast="47" xr6:coauthVersionMax="47" xr10:uidLastSave="{01A289D4-5527-4E53-B83D-9F82D4063836}"/>
  <bookViews>
    <workbookView xWindow="28680" yWindow="-120" windowWidth="29040" windowHeight="15720" tabRatio="803" firstSheet="1" activeTab="9" xr2:uid="{CA3194DE-1153-4FFE-8B65-4665402F630B}"/>
  </bookViews>
  <sheets>
    <sheet name="FACT 434" sheetId="465" state="hidden" r:id="rId1"/>
    <sheet name="FACT.669" sheetId="798" r:id="rId2"/>
    <sheet name="FACT.670" sheetId="794" r:id="rId3"/>
    <sheet name="FACT.692" sheetId="799" r:id="rId4"/>
    <sheet name="FACT. 693" sheetId="797" r:id="rId5"/>
    <sheet name="FACT.696" sheetId="811" r:id="rId6"/>
    <sheet name="FACT.703" sheetId="781" r:id="rId7"/>
    <sheet name="FACT.705" sheetId="816" r:id="rId8"/>
    <sheet name="FACT.706" sheetId="814" r:id="rId9"/>
    <sheet name="Vitrins Kathrine " sheetId="820" r:id="rId10"/>
    <sheet name="Vitrina Pastelera" sheetId="779" r:id="rId11"/>
    <sheet name="Cortadora de Pan Gate" sheetId="795" r:id="rId12"/>
    <sheet name="Visicooler" sheetId="796" r:id="rId13"/>
    <sheet name="Frigobar Gate" sheetId="800" r:id="rId14"/>
    <sheet name="Horno" sheetId="801" r:id="rId15"/>
    <sheet name="Sartenes Gate" sheetId="804" r:id="rId16"/>
    <sheet name="Congeladora Gate" sheetId="803" r:id="rId17"/>
    <sheet name="Poruña Gate" sheetId="806" r:id="rId18"/>
    <sheet name="Tapas GN Gate" sheetId="807" r:id="rId19"/>
    <sheet name="Materiales Access" sheetId="805" r:id="rId20"/>
    <sheet name="Horno Gate" sheetId="809" r:id="rId21"/>
    <sheet name="CORDELES ORICA Coquimbo" sheetId="812" r:id="rId22"/>
    <sheet name="CESTAS" sheetId="813" r:id="rId23"/>
    <sheet name="MESON AC 150X100" sheetId="817" r:id="rId24"/>
    <sheet name="Congeladora Gate (2)" sheetId="810" r:id="rId25"/>
    <sheet name="CORDELES ORICA  (3)" sheetId="818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779" l="1"/>
  <c r="C33" i="781"/>
  <c r="C33" i="814"/>
  <c r="G35" i="816"/>
  <c r="F35" i="816"/>
  <c r="E40" i="820"/>
  <c r="E39" i="820"/>
  <c r="G39" i="820" s="1"/>
  <c r="F43" i="820"/>
  <c r="E43" i="820"/>
  <c r="G43" i="820" s="1"/>
  <c r="H43" i="820" s="1"/>
  <c r="F42" i="820"/>
  <c r="E42" i="820"/>
  <c r="G42" i="820" s="1"/>
  <c r="H42" i="820" s="1"/>
  <c r="G41" i="820"/>
  <c r="F41" i="820"/>
  <c r="F40" i="820"/>
  <c r="G40" i="820"/>
  <c r="F39" i="820"/>
  <c r="E39" i="813"/>
  <c r="C4" i="812"/>
  <c r="F43" i="818"/>
  <c r="E43" i="818"/>
  <c r="G43" i="818" s="1"/>
  <c r="H43" i="818" s="1"/>
  <c r="F42" i="818"/>
  <c r="E42" i="818"/>
  <c r="G42" i="818" s="1"/>
  <c r="H42" i="818" s="1"/>
  <c r="F41" i="818"/>
  <c r="G41" i="818"/>
  <c r="H41" i="818" s="1"/>
  <c r="G40" i="818"/>
  <c r="F40" i="818"/>
  <c r="F39" i="818"/>
  <c r="F44" i="818" s="1"/>
  <c r="C4" i="818" s="1"/>
  <c r="G39" i="818"/>
  <c r="E39" i="817"/>
  <c r="E41" i="817"/>
  <c r="E42" i="817"/>
  <c r="F43" i="817"/>
  <c r="E43" i="817"/>
  <c r="G43" i="817" s="1"/>
  <c r="H43" i="817" s="1"/>
  <c r="F42" i="817"/>
  <c r="G42" i="817"/>
  <c r="H42" i="817" s="1"/>
  <c r="G41" i="817"/>
  <c r="F41" i="817"/>
  <c r="F40" i="817"/>
  <c r="G40" i="817"/>
  <c r="H40" i="817" s="1"/>
  <c r="F39" i="817"/>
  <c r="F44" i="817" s="1"/>
  <c r="G39" i="817"/>
  <c r="C4" i="817"/>
  <c r="E39" i="816"/>
  <c r="G39" i="816"/>
  <c r="H39" i="816" s="1"/>
  <c r="E40" i="816"/>
  <c r="G40" i="816"/>
  <c r="E41" i="816"/>
  <c r="E42" i="816"/>
  <c r="E43" i="816"/>
  <c r="F39" i="816"/>
  <c r="F44" i="816" s="1"/>
  <c r="C4" i="816" s="1"/>
  <c r="C5" i="816" s="1"/>
  <c r="F40" i="816"/>
  <c r="H40" i="816" s="1"/>
  <c r="F41" i="816"/>
  <c r="G41" i="816"/>
  <c r="H41" i="816"/>
  <c r="F42" i="816"/>
  <c r="G42" i="816"/>
  <c r="H42" i="816"/>
  <c r="F43" i="816"/>
  <c r="G43" i="816"/>
  <c r="H43" i="816" s="1"/>
  <c r="F43" i="814"/>
  <c r="E43" i="814"/>
  <c r="G43" i="814" s="1"/>
  <c r="H43" i="814" s="1"/>
  <c r="F42" i="814"/>
  <c r="E42" i="814"/>
  <c r="G42" i="814" s="1"/>
  <c r="H42" i="814" s="1"/>
  <c r="F41" i="814"/>
  <c r="E41" i="814"/>
  <c r="G41" i="814" s="1"/>
  <c r="H41" i="814" s="1"/>
  <c r="G40" i="814"/>
  <c r="F40" i="814"/>
  <c r="G39" i="814"/>
  <c r="F39" i="814"/>
  <c r="F44" i="820" l="1"/>
  <c r="C4" i="820" s="1"/>
  <c r="C5" i="820" s="1"/>
  <c r="C6" i="820" s="1"/>
  <c r="H39" i="820"/>
  <c r="H41" i="820"/>
  <c r="G44" i="820"/>
  <c r="C8" i="820" s="1"/>
  <c r="H40" i="820"/>
  <c r="C5" i="818"/>
  <c r="C6" i="818" s="1"/>
  <c r="G44" i="818"/>
  <c r="C8" i="818" s="1"/>
  <c r="H39" i="818"/>
  <c r="H40" i="818"/>
  <c r="C5" i="817"/>
  <c r="C6" i="817" s="1"/>
  <c r="G44" i="817"/>
  <c r="C8" i="817" s="1"/>
  <c r="H39" i="817"/>
  <c r="H41" i="817"/>
  <c r="G44" i="816"/>
  <c r="C8" i="816" s="1"/>
  <c r="C9" i="816" s="1"/>
  <c r="C14" i="816"/>
  <c r="C6" i="816"/>
  <c r="H44" i="816"/>
  <c r="F44" i="814"/>
  <c r="C4" i="814" s="1"/>
  <c r="C5" i="814" s="1"/>
  <c r="C6" i="814" s="1"/>
  <c r="H40" i="814"/>
  <c r="G44" i="814"/>
  <c r="C8" i="814" s="1"/>
  <c r="C9" i="814" s="1"/>
  <c r="H39" i="814"/>
  <c r="H44" i="814" l="1"/>
  <c r="H44" i="820"/>
  <c r="C9" i="820"/>
  <c r="C12" i="820" s="1"/>
  <c r="C14" i="820"/>
  <c r="H44" i="818"/>
  <c r="C14" i="818"/>
  <c r="C9" i="818"/>
  <c r="H44" i="817"/>
  <c r="C14" i="817"/>
  <c r="C9" i="817"/>
  <c r="C12" i="816"/>
  <c r="C10" i="816"/>
  <c r="C16" i="816" s="1"/>
  <c r="C17" i="816" s="1"/>
  <c r="C21" i="816" s="1"/>
  <c r="C25" i="816" s="1"/>
  <c r="C23" i="816"/>
  <c r="C19" i="816"/>
  <c r="C12" i="814"/>
  <c r="C14" i="814"/>
  <c r="C19" i="814" s="1"/>
  <c r="C10" i="814"/>
  <c r="C23" i="820" l="1"/>
  <c r="C19" i="820"/>
  <c r="C10" i="820"/>
  <c r="C12" i="818"/>
  <c r="C10" i="818"/>
  <c r="C23" i="818"/>
  <c r="C19" i="818"/>
  <c r="C12" i="817"/>
  <c r="C10" i="817"/>
  <c r="C23" i="817"/>
  <c r="C19" i="817"/>
  <c r="C27" i="816"/>
  <c r="C29" i="816" s="1"/>
  <c r="C33" i="816" s="1"/>
  <c r="E25" i="816"/>
  <c r="C23" i="814"/>
  <c r="C16" i="814"/>
  <c r="C17" i="814" s="1"/>
  <c r="C21" i="814" s="1"/>
  <c r="C16" i="820" l="1"/>
  <c r="C17" i="820" s="1"/>
  <c r="C21" i="820" s="1"/>
  <c r="C25" i="820" s="1"/>
  <c r="C17" i="818"/>
  <c r="C21" i="818" s="1"/>
  <c r="C25" i="818" s="1"/>
  <c r="C16" i="817"/>
  <c r="C17" i="817" s="1"/>
  <c r="C21" i="817" s="1"/>
  <c r="C25" i="817" s="1"/>
  <c r="C35" i="816"/>
  <c r="C25" i="814"/>
  <c r="C27" i="814" s="1"/>
  <c r="C29" i="814" s="1"/>
  <c r="C27" i="820" l="1"/>
  <c r="C29" i="820" s="1"/>
  <c r="C33" i="820" s="1"/>
  <c r="E25" i="820"/>
  <c r="C27" i="818"/>
  <c r="C29" i="818" s="1"/>
  <c r="E25" i="818"/>
  <c r="C27" i="817"/>
  <c r="C29" i="817" s="1"/>
  <c r="E25" i="817"/>
  <c r="E25" i="814"/>
  <c r="C35" i="814"/>
  <c r="C35" i="820" l="1"/>
  <c r="C33" i="818"/>
  <c r="C35" i="818" s="1"/>
  <c r="C33" i="817"/>
  <c r="C35" i="817" s="1"/>
  <c r="E40" i="813"/>
  <c r="C33" i="811" l="1"/>
  <c r="C4" i="799"/>
  <c r="G39" i="813"/>
  <c r="F43" i="813"/>
  <c r="E43" i="813"/>
  <c r="G43" i="813" s="1"/>
  <c r="F42" i="813"/>
  <c r="E42" i="813"/>
  <c r="G42" i="813" s="1"/>
  <c r="F41" i="813"/>
  <c r="G41" i="813"/>
  <c r="G40" i="813"/>
  <c r="F40" i="813"/>
  <c r="F39" i="813"/>
  <c r="E41" i="812"/>
  <c r="E42" i="812"/>
  <c r="F43" i="812"/>
  <c r="E43" i="812"/>
  <c r="G43" i="812" s="1"/>
  <c r="H43" i="812" s="1"/>
  <c r="F42" i="812"/>
  <c r="G42" i="812"/>
  <c r="H42" i="812" s="1"/>
  <c r="G41" i="812"/>
  <c r="F41" i="812"/>
  <c r="G40" i="812"/>
  <c r="F40" i="812"/>
  <c r="F39" i="812"/>
  <c r="G39" i="812"/>
  <c r="E39" i="811"/>
  <c r="F43" i="811"/>
  <c r="E43" i="811"/>
  <c r="G43" i="811" s="1"/>
  <c r="H43" i="811" s="1"/>
  <c r="F42" i="811"/>
  <c r="E42" i="811"/>
  <c r="G42" i="811" s="1"/>
  <c r="H42" i="811" s="1"/>
  <c r="G41" i="811"/>
  <c r="F41" i="811"/>
  <c r="F40" i="811"/>
  <c r="G40" i="811"/>
  <c r="H40" i="811" s="1"/>
  <c r="F39" i="811"/>
  <c r="F44" i="811" s="1"/>
  <c r="G39" i="811"/>
  <c r="C4" i="811"/>
  <c r="C4" i="797"/>
  <c r="E40" i="810"/>
  <c r="E39" i="810"/>
  <c r="E42" i="810"/>
  <c r="E43" i="810"/>
  <c r="F43" i="810"/>
  <c r="G43" i="810"/>
  <c r="H43" i="810" s="1"/>
  <c r="F42" i="810"/>
  <c r="G42" i="810"/>
  <c r="H42" i="810" s="1"/>
  <c r="F41" i="810"/>
  <c r="G41" i="810"/>
  <c r="H41" i="810" s="1"/>
  <c r="F40" i="810"/>
  <c r="G40" i="810"/>
  <c r="H40" i="810" s="1"/>
  <c r="G39" i="810"/>
  <c r="F39" i="810"/>
  <c r="F44" i="810"/>
  <c r="C4" i="810"/>
  <c r="F44" i="809"/>
  <c r="E44" i="809"/>
  <c r="G44" i="809" s="1"/>
  <c r="H44" i="809" s="1"/>
  <c r="F43" i="809"/>
  <c r="E43" i="809"/>
  <c r="G43" i="809" s="1"/>
  <c r="H43" i="809" s="1"/>
  <c r="F42" i="809"/>
  <c r="E42" i="809"/>
  <c r="G42" i="809" s="1"/>
  <c r="H42" i="809" s="1"/>
  <c r="F41" i="809"/>
  <c r="E41" i="809"/>
  <c r="G41" i="809" s="1"/>
  <c r="H41" i="809" s="1"/>
  <c r="F40" i="809"/>
  <c r="E40" i="809"/>
  <c r="G40" i="809" s="1"/>
  <c r="H40" i="809" s="1"/>
  <c r="F39" i="809"/>
  <c r="F45" i="809" s="1"/>
  <c r="G39" i="809"/>
  <c r="C4" i="809"/>
  <c r="E40" i="804"/>
  <c r="E39" i="804"/>
  <c r="E39" i="807"/>
  <c r="F44" i="807"/>
  <c r="E44" i="807"/>
  <c r="G44" i="807" s="1"/>
  <c r="H44" i="807" s="1"/>
  <c r="F43" i="807"/>
  <c r="E43" i="807"/>
  <c r="G43" i="807" s="1"/>
  <c r="H43" i="807" s="1"/>
  <c r="F42" i="807"/>
  <c r="E42" i="807"/>
  <c r="G42" i="807" s="1"/>
  <c r="H42" i="807" s="1"/>
  <c r="F41" i="807"/>
  <c r="E41" i="807"/>
  <c r="G41" i="807" s="1"/>
  <c r="H41" i="807" s="1"/>
  <c r="G40" i="807"/>
  <c r="F40" i="807"/>
  <c r="F39" i="807"/>
  <c r="F45" i="807" s="1"/>
  <c r="G39" i="807"/>
  <c r="C4" i="807"/>
  <c r="E39" i="806"/>
  <c r="F44" i="806"/>
  <c r="E44" i="806"/>
  <c r="G44" i="806" s="1"/>
  <c r="H44" i="806" s="1"/>
  <c r="F43" i="806"/>
  <c r="E43" i="806"/>
  <c r="G43" i="806" s="1"/>
  <c r="H43" i="806" s="1"/>
  <c r="F42" i="806"/>
  <c r="E42" i="806"/>
  <c r="G42" i="806" s="1"/>
  <c r="H42" i="806" s="1"/>
  <c r="F41" i="806"/>
  <c r="E41" i="806"/>
  <c r="G41" i="806" s="1"/>
  <c r="H41" i="806" s="1"/>
  <c r="F40" i="806"/>
  <c r="G40" i="806"/>
  <c r="H40" i="806" s="1"/>
  <c r="F39" i="806"/>
  <c r="F45" i="806" s="1"/>
  <c r="G39" i="806"/>
  <c r="C4" i="806"/>
  <c r="E40" i="805"/>
  <c r="G40" i="805" s="1"/>
  <c r="H40" i="805" s="1"/>
  <c r="F44" i="805"/>
  <c r="E44" i="805"/>
  <c r="G44" i="805" s="1"/>
  <c r="H44" i="805" s="1"/>
  <c r="G43" i="805"/>
  <c r="H43" i="805" s="1"/>
  <c r="F43" i="805"/>
  <c r="E43" i="805"/>
  <c r="H42" i="805"/>
  <c r="G42" i="805"/>
  <c r="F42" i="805"/>
  <c r="E42" i="805"/>
  <c r="G41" i="805"/>
  <c r="F41" i="805"/>
  <c r="E41" i="805"/>
  <c r="F40" i="805"/>
  <c r="F39" i="805"/>
  <c r="G39" i="805"/>
  <c r="E42" i="804"/>
  <c r="F44" i="804"/>
  <c r="E44" i="804"/>
  <c r="G44" i="804" s="1"/>
  <c r="H44" i="804" s="1"/>
  <c r="F43" i="804"/>
  <c r="E43" i="804"/>
  <c r="G43" i="804" s="1"/>
  <c r="H43" i="804" s="1"/>
  <c r="F42" i="804"/>
  <c r="G42" i="804"/>
  <c r="H42" i="804" s="1"/>
  <c r="F41" i="804"/>
  <c r="G41" i="804"/>
  <c r="H41" i="804" s="1"/>
  <c r="G40" i="804"/>
  <c r="F40" i="804"/>
  <c r="F39" i="804"/>
  <c r="F45" i="804" s="1"/>
  <c r="G39" i="804"/>
  <c r="C4" i="804"/>
  <c r="E39" i="803"/>
  <c r="F44" i="803"/>
  <c r="E44" i="803"/>
  <c r="G44" i="803" s="1"/>
  <c r="H44" i="803" s="1"/>
  <c r="F43" i="803"/>
  <c r="E43" i="803"/>
  <c r="G43" i="803" s="1"/>
  <c r="H43" i="803" s="1"/>
  <c r="F42" i="803"/>
  <c r="E42" i="803"/>
  <c r="G42" i="803" s="1"/>
  <c r="H42" i="803" s="1"/>
  <c r="F41" i="803"/>
  <c r="E41" i="803"/>
  <c r="G41" i="803" s="1"/>
  <c r="H41" i="803" s="1"/>
  <c r="F40" i="803"/>
  <c r="G40" i="803"/>
  <c r="H40" i="803" s="1"/>
  <c r="F39" i="803"/>
  <c r="F45" i="803" s="1"/>
  <c r="G39" i="803"/>
  <c r="C4" i="803"/>
  <c r="C4" i="801"/>
  <c r="E40" i="801"/>
  <c r="E41" i="801"/>
  <c r="E42" i="801"/>
  <c r="E43" i="801"/>
  <c r="E39" i="801"/>
  <c r="F44" i="801"/>
  <c r="E44" i="801"/>
  <c r="G44" i="801" s="1"/>
  <c r="H44" i="801" s="1"/>
  <c r="F43" i="801"/>
  <c r="G43" i="801"/>
  <c r="H43" i="801" s="1"/>
  <c r="F42" i="801"/>
  <c r="G42" i="801"/>
  <c r="H42" i="801" s="1"/>
  <c r="F41" i="801"/>
  <c r="G41" i="801"/>
  <c r="H41" i="801" s="1"/>
  <c r="G40" i="801"/>
  <c r="F40" i="801"/>
  <c r="F39" i="801"/>
  <c r="F45" i="801" s="1"/>
  <c r="G39" i="801"/>
  <c r="C4" i="794"/>
  <c r="G35" i="798"/>
  <c r="F35" i="798"/>
  <c r="C33" i="798"/>
  <c r="F44" i="800"/>
  <c r="E44" i="800"/>
  <c r="G44" i="800" s="1"/>
  <c r="H44" i="800" s="1"/>
  <c r="F43" i="800"/>
  <c r="E43" i="800"/>
  <c r="G43" i="800" s="1"/>
  <c r="H43" i="800" s="1"/>
  <c r="F42" i="800"/>
  <c r="E42" i="800"/>
  <c r="G42" i="800" s="1"/>
  <c r="H42" i="800" s="1"/>
  <c r="F41" i="800"/>
  <c r="E41" i="800"/>
  <c r="G41" i="800" s="1"/>
  <c r="H41" i="800" s="1"/>
  <c r="G40" i="800"/>
  <c r="F40" i="800"/>
  <c r="F39" i="800"/>
  <c r="F45" i="800" s="1"/>
  <c r="E39" i="800"/>
  <c r="G39" i="800" s="1"/>
  <c r="C4" i="800"/>
  <c r="F45" i="799"/>
  <c r="E45" i="799"/>
  <c r="G45" i="799" s="1"/>
  <c r="H45" i="799" s="1"/>
  <c r="F44" i="799"/>
  <c r="E44" i="799"/>
  <c r="G44" i="799" s="1"/>
  <c r="H44" i="799" s="1"/>
  <c r="F43" i="799"/>
  <c r="E43" i="799"/>
  <c r="G43" i="799" s="1"/>
  <c r="H43" i="799" s="1"/>
  <c r="F42" i="799"/>
  <c r="E42" i="799"/>
  <c r="G42" i="799" s="1"/>
  <c r="H42" i="799" s="1"/>
  <c r="F41" i="799"/>
  <c r="E41" i="799"/>
  <c r="G41" i="799" s="1"/>
  <c r="H41" i="799" s="1"/>
  <c r="F40" i="799"/>
  <c r="E40" i="799"/>
  <c r="G40" i="799" s="1"/>
  <c r="H40" i="799" s="1"/>
  <c r="F39" i="799"/>
  <c r="F46" i="799" s="1"/>
  <c r="G39" i="799"/>
  <c r="E40" i="798"/>
  <c r="G40" i="798" s="1"/>
  <c r="H40" i="798" s="1"/>
  <c r="G39" i="798"/>
  <c r="F39" i="798"/>
  <c r="F40" i="798"/>
  <c r="E41" i="798"/>
  <c r="G41" i="798" s="1"/>
  <c r="H41" i="798" s="1"/>
  <c r="F41" i="798"/>
  <c r="E42" i="798"/>
  <c r="G42" i="798" s="1"/>
  <c r="H42" i="798" s="1"/>
  <c r="F42" i="798"/>
  <c r="E43" i="798"/>
  <c r="G43" i="798" s="1"/>
  <c r="H43" i="798" s="1"/>
  <c r="F43" i="798"/>
  <c r="E44" i="798"/>
  <c r="G44" i="798" s="1"/>
  <c r="H44" i="798" s="1"/>
  <c r="F44" i="798"/>
  <c r="E39" i="795"/>
  <c r="G39" i="795" s="1"/>
  <c r="E40" i="795"/>
  <c r="G40" i="795" s="1"/>
  <c r="H40" i="795" s="1"/>
  <c r="F44" i="797"/>
  <c r="E44" i="797"/>
  <c r="G44" i="797" s="1"/>
  <c r="H44" i="797" s="1"/>
  <c r="F43" i="797"/>
  <c r="E43" i="797"/>
  <c r="G43" i="797" s="1"/>
  <c r="H43" i="797" s="1"/>
  <c r="F42" i="797"/>
  <c r="E42" i="797"/>
  <c r="G42" i="797" s="1"/>
  <c r="H42" i="797" s="1"/>
  <c r="F41" i="797"/>
  <c r="E41" i="797"/>
  <c r="G41" i="797" s="1"/>
  <c r="H41" i="797" s="1"/>
  <c r="G40" i="797"/>
  <c r="F40" i="797"/>
  <c r="F39" i="797"/>
  <c r="F45" i="797" s="1"/>
  <c r="G39" i="797"/>
  <c r="E39" i="796"/>
  <c r="F44" i="796"/>
  <c r="E44" i="796"/>
  <c r="G44" i="796" s="1"/>
  <c r="H44" i="796" s="1"/>
  <c r="F43" i="796"/>
  <c r="E43" i="796"/>
  <c r="G43" i="796" s="1"/>
  <c r="H43" i="796" s="1"/>
  <c r="F42" i="796"/>
  <c r="E42" i="796"/>
  <c r="G42" i="796" s="1"/>
  <c r="H42" i="796" s="1"/>
  <c r="F41" i="796"/>
  <c r="E41" i="796"/>
  <c r="G41" i="796" s="1"/>
  <c r="H41" i="796" s="1"/>
  <c r="G40" i="796"/>
  <c r="F40" i="796"/>
  <c r="G39" i="796"/>
  <c r="F39" i="796"/>
  <c r="F45" i="796" s="1"/>
  <c r="C4" i="796"/>
  <c r="F44" i="795"/>
  <c r="E44" i="795"/>
  <c r="G44" i="795" s="1"/>
  <c r="H44" i="795" s="1"/>
  <c r="F43" i="795"/>
  <c r="E43" i="795"/>
  <c r="G43" i="795" s="1"/>
  <c r="H43" i="795" s="1"/>
  <c r="F42" i="795"/>
  <c r="E42" i="795"/>
  <c r="G42" i="795" s="1"/>
  <c r="H42" i="795" s="1"/>
  <c r="F41" i="795"/>
  <c r="G41" i="795"/>
  <c r="H41" i="795" s="1"/>
  <c r="F40" i="795"/>
  <c r="F39" i="795"/>
  <c r="E40" i="794"/>
  <c r="F44" i="794"/>
  <c r="E44" i="794"/>
  <c r="G44" i="794" s="1"/>
  <c r="H44" i="794" s="1"/>
  <c r="F43" i="794"/>
  <c r="E43" i="794"/>
  <c r="G43" i="794" s="1"/>
  <c r="H43" i="794" s="1"/>
  <c r="F42" i="794"/>
  <c r="E42" i="794"/>
  <c r="G42" i="794" s="1"/>
  <c r="H42" i="794" s="1"/>
  <c r="F41" i="794"/>
  <c r="E41" i="794"/>
  <c r="G41" i="794" s="1"/>
  <c r="H41" i="794" s="1"/>
  <c r="G40" i="794"/>
  <c r="F40" i="794"/>
  <c r="G39" i="794"/>
  <c r="F39" i="794"/>
  <c r="F45" i="794" s="1"/>
  <c r="F44" i="781"/>
  <c r="E44" i="781"/>
  <c r="G44" i="781" s="1"/>
  <c r="H44" i="781" s="1"/>
  <c r="F43" i="781"/>
  <c r="E43" i="781"/>
  <c r="G43" i="781" s="1"/>
  <c r="H43" i="781" s="1"/>
  <c r="F42" i="781"/>
  <c r="E42" i="781"/>
  <c r="G42" i="781" s="1"/>
  <c r="H42" i="781" s="1"/>
  <c r="F41" i="781"/>
  <c r="E41" i="781"/>
  <c r="G41" i="781" s="1"/>
  <c r="H41" i="781" s="1"/>
  <c r="G40" i="781"/>
  <c r="F40" i="781"/>
  <c r="F39" i="781"/>
  <c r="F45" i="781" s="1"/>
  <c r="C4" i="781" s="1"/>
  <c r="G39" i="781"/>
  <c r="F44" i="779"/>
  <c r="E44" i="779"/>
  <c r="G44" i="779" s="1"/>
  <c r="H44" i="779" s="1"/>
  <c r="F43" i="779"/>
  <c r="E43" i="779"/>
  <c r="G43" i="779" s="1"/>
  <c r="H43" i="779" s="1"/>
  <c r="F42" i="779"/>
  <c r="E42" i="779"/>
  <c r="G42" i="779" s="1"/>
  <c r="H42" i="779" s="1"/>
  <c r="F41" i="779"/>
  <c r="E41" i="779"/>
  <c r="G41" i="779" s="1"/>
  <c r="H41" i="779" s="1"/>
  <c r="F40" i="779"/>
  <c r="E40" i="779"/>
  <c r="G40" i="779" s="1"/>
  <c r="H40" i="779" s="1"/>
  <c r="F39" i="779"/>
  <c r="F45" i="779" s="1"/>
  <c r="G39" i="779"/>
  <c r="C4" i="779"/>
  <c r="F44" i="812" l="1"/>
  <c r="H41" i="813"/>
  <c r="F44" i="813"/>
  <c r="C4" i="813" s="1"/>
  <c r="C5" i="813" s="1"/>
  <c r="C6" i="813" s="1"/>
  <c r="H43" i="813"/>
  <c r="H42" i="813"/>
  <c r="G44" i="813"/>
  <c r="C8" i="813" s="1"/>
  <c r="H39" i="813"/>
  <c r="H40" i="813"/>
  <c r="C5" i="812"/>
  <c r="C6" i="812" s="1"/>
  <c r="G44" i="812"/>
  <c r="C8" i="812" s="1"/>
  <c r="H39" i="812"/>
  <c r="H40" i="812"/>
  <c r="H41" i="812"/>
  <c r="C5" i="811"/>
  <c r="C6" i="811" s="1"/>
  <c r="G44" i="811"/>
  <c r="C8" i="811" s="1"/>
  <c r="H39" i="811"/>
  <c r="H41" i="811"/>
  <c r="C5" i="810"/>
  <c r="C6" i="810" s="1"/>
  <c r="G44" i="810"/>
  <c r="C8" i="810" s="1"/>
  <c r="H39" i="810"/>
  <c r="C5" i="809"/>
  <c r="C6" i="809" s="1"/>
  <c r="G45" i="809"/>
  <c r="C8" i="809" s="1"/>
  <c r="H39" i="809"/>
  <c r="H45" i="809" s="1"/>
  <c r="C5" i="807"/>
  <c r="C6" i="807" s="1"/>
  <c r="G45" i="807"/>
  <c r="C8" i="807" s="1"/>
  <c r="H39" i="807"/>
  <c r="H40" i="807"/>
  <c r="C5" i="806"/>
  <c r="C6" i="806" s="1"/>
  <c r="G45" i="806"/>
  <c r="C8" i="806" s="1"/>
  <c r="H39" i="806"/>
  <c r="H45" i="806" s="1"/>
  <c r="H41" i="805"/>
  <c r="F45" i="805"/>
  <c r="C4" i="805" s="1"/>
  <c r="C5" i="805" s="1"/>
  <c r="C6" i="805" s="1"/>
  <c r="G45" i="805"/>
  <c r="C8" i="805" s="1"/>
  <c r="C9" i="805" s="1"/>
  <c r="H39" i="805"/>
  <c r="C5" i="804"/>
  <c r="C6" i="804" s="1"/>
  <c r="G45" i="804"/>
  <c r="C8" i="804" s="1"/>
  <c r="H39" i="804"/>
  <c r="H40" i="804"/>
  <c r="C5" i="803"/>
  <c r="C6" i="803" s="1"/>
  <c r="G45" i="803"/>
  <c r="C8" i="803" s="1"/>
  <c r="H39" i="803"/>
  <c r="H45" i="803" s="1"/>
  <c r="C5" i="801"/>
  <c r="C6" i="801" s="1"/>
  <c r="G45" i="801"/>
  <c r="C8" i="801" s="1"/>
  <c r="H39" i="801"/>
  <c r="H40" i="801"/>
  <c r="C5" i="800"/>
  <c r="C6" i="800" s="1"/>
  <c r="G45" i="800"/>
  <c r="C8" i="800" s="1"/>
  <c r="H39" i="800"/>
  <c r="H40" i="800"/>
  <c r="C5" i="799"/>
  <c r="C6" i="799" s="1"/>
  <c r="G46" i="799"/>
  <c r="C8" i="799" s="1"/>
  <c r="H39" i="799"/>
  <c r="H46" i="799" s="1"/>
  <c r="F45" i="798"/>
  <c r="C4" i="798" s="1"/>
  <c r="C5" i="798" s="1"/>
  <c r="H39" i="798"/>
  <c r="H45" i="798" s="1"/>
  <c r="G45" i="798"/>
  <c r="C8" i="798" s="1"/>
  <c r="F45" i="795"/>
  <c r="C4" i="795" s="1"/>
  <c r="C5" i="795" s="1"/>
  <c r="C6" i="795" s="1"/>
  <c r="C5" i="797"/>
  <c r="C6" i="797" s="1"/>
  <c r="G45" i="797"/>
  <c r="C8" i="797" s="1"/>
  <c r="H39" i="797"/>
  <c r="H40" i="797"/>
  <c r="C5" i="796"/>
  <c r="C6" i="796" s="1"/>
  <c r="G45" i="796"/>
  <c r="C8" i="796" s="1"/>
  <c r="H39" i="796"/>
  <c r="H40" i="796"/>
  <c r="G45" i="795"/>
  <c r="C8" i="795" s="1"/>
  <c r="H39" i="795"/>
  <c r="H45" i="795" s="1"/>
  <c r="C5" i="794"/>
  <c r="C6" i="794" s="1"/>
  <c r="G45" i="794"/>
  <c r="C8" i="794" s="1"/>
  <c r="H39" i="794"/>
  <c r="H40" i="794"/>
  <c r="C5" i="781"/>
  <c r="C6" i="781" s="1"/>
  <c r="G45" i="781"/>
  <c r="C8" i="781" s="1"/>
  <c r="H39" i="781"/>
  <c r="H40" i="781"/>
  <c r="C5" i="779"/>
  <c r="C6" i="779" s="1"/>
  <c r="G45" i="779"/>
  <c r="C8" i="779" s="1"/>
  <c r="H39" i="779"/>
  <c r="H45" i="779" s="1"/>
  <c r="H44" i="813" l="1"/>
  <c r="C14" i="813"/>
  <c r="C9" i="813"/>
  <c r="H44" i="812"/>
  <c r="C14" i="812"/>
  <c r="C9" i="812"/>
  <c r="H44" i="811"/>
  <c r="C14" i="811"/>
  <c r="C9" i="811"/>
  <c r="H44" i="810"/>
  <c r="C14" i="810"/>
  <c r="C9" i="810"/>
  <c r="C14" i="809"/>
  <c r="C9" i="809"/>
  <c r="H45" i="807"/>
  <c r="C14" i="807"/>
  <c r="C9" i="807"/>
  <c r="C14" i="806"/>
  <c r="C9" i="806"/>
  <c r="H45" i="805"/>
  <c r="C14" i="805"/>
  <c r="C19" i="805" s="1"/>
  <c r="C12" i="805"/>
  <c r="C10" i="805"/>
  <c r="H45" i="804"/>
  <c r="C14" i="804"/>
  <c r="C9" i="804"/>
  <c r="C14" i="803"/>
  <c r="C9" i="803"/>
  <c r="H45" i="801"/>
  <c r="C14" i="801"/>
  <c r="C9" i="801"/>
  <c r="H45" i="800"/>
  <c r="C14" i="800"/>
  <c r="C9" i="800"/>
  <c r="C14" i="799"/>
  <c r="C9" i="799"/>
  <c r="C6" i="798"/>
  <c r="C9" i="798"/>
  <c r="C12" i="798" s="1"/>
  <c r="C14" i="798"/>
  <c r="H45" i="797"/>
  <c r="C14" i="797"/>
  <c r="C9" i="797"/>
  <c r="H45" i="796"/>
  <c r="C14" i="796"/>
  <c r="C9" i="796"/>
  <c r="C14" i="795"/>
  <c r="C9" i="795"/>
  <c r="H45" i="794"/>
  <c r="C14" i="794"/>
  <c r="C9" i="794"/>
  <c r="H45" i="781"/>
  <c r="C14" i="781"/>
  <c r="C9" i="781"/>
  <c r="C14" i="779"/>
  <c r="C9" i="779"/>
  <c r="C12" i="813" l="1"/>
  <c r="C10" i="813"/>
  <c r="C23" i="813"/>
  <c r="C19" i="813"/>
  <c r="C12" i="812"/>
  <c r="C10" i="812"/>
  <c r="C23" i="812"/>
  <c r="C19" i="812"/>
  <c r="C12" i="811"/>
  <c r="C10" i="811"/>
  <c r="C23" i="811"/>
  <c r="C19" i="811"/>
  <c r="C12" i="810"/>
  <c r="C10" i="810"/>
  <c r="C23" i="810"/>
  <c r="C19" i="810"/>
  <c r="C12" i="809"/>
  <c r="C10" i="809"/>
  <c r="C23" i="809"/>
  <c r="C19" i="809"/>
  <c r="C12" i="807"/>
  <c r="C10" i="807"/>
  <c r="C23" i="807"/>
  <c r="C19" i="807"/>
  <c r="C12" i="806"/>
  <c r="C10" i="806"/>
  <c r="C23" i="806"/>
  <c r="C19" i="806"/>
  <c r="C23" i="805"/>
  <c r="C16" i="805"/>
  <c r="C17" i="805" s="1"/>
  <c r="C21" i="805" s="1"/>
  <c r="C25" i="805" s="1"/>
  <c r="C12" i="804"/>
  <c r="C10" i="804"/>
  <c r="C23" i="804"/>
  <c r="C19" i="804"/>
  <c r="C12" i="803"/>
  <c r="C10" i="803"/>
  <c r="C23" i="803"/>
  <c r="C19" i="803"/>
  <c r="C12" i="801"/>
  <c r="C10" i="801"/>
  <c r="C23" i="801"/>
  <c r="C19" i="801"/>
  <c r="C12" i="800"/>
  <c r="C10" i="800"/>
  <c r="C23" i="800"/>
  <c r="C19" i="800"/>
  <c r="C12" i="799"/>
  <c r="C10" i="799"/>
  <c r="C23" i="799"/>
  <c r="C19" i="799"/>
  <c r="C10" i="798"/>
  <c r="C19" i="798"/>
  <c r="C23" i="798"/>
  <c r="C12" i="797"/>
  <c r="C10" i="797"/>
  <c r="C23" i="797"/>
  <c r="C19" i="797"/>
  <c r="C12" i="796"/>
  <c r="C10" i="796"/>
  <c r="C23" i="796"/>
  <c r="C19" i="796"/>
  <c r="C12" i="795"/>
  <c r="C10" i="795"/>
  <c r="C23" i="795"/>
  <c r="C19" i="795"/>
  <c r="C12" i="794"/>
  <c r="C10" i="794"/>
  <c r="C23" i="794"/>
  <c r="C19" i="794"/>
  <c r="C12" i="781"/>
  <c r="C10" i="781"/>
  <c r="C23" i="781"/>
  <c r="C19" i="781"/>
  <c r="C12" i="779"/>
  <c r="C10" i="779"/>
  <c r="C23" i="779"/>
  <c r="C19" i="779"/>
  <c r="C16" i="813" l="1"/>
  <c r="C17" i="813" s="1"/>
  <c r="C21" i="813" s="1"/>
  <c r="C25" i="813" s="1"/>
  <c r="C16" i="812"/>
  <c r="C17" i="812" s="1"/>
  <c r="C21" i="812" s="1"/>
  <c r="C25" i="812" s="1"/>
  <c r="C16" i="811"/>
  <c r="C17" i="811" s="1"/>
  <c r="C21" i="811" s="1"/>
  <c r="C25" i="811" s="1"/>
  <c r="C16" i="810"/>
  <c r="C17" i="810" s="1"/>
  <c r="C21" i="810" s="1"/>
  <c r="C25" i="810" s="1"/>
  <c r="C16" i="809"/>
  <c r="C17" i="809" s="1"/>
  <c r="C21" i="809" s="1"/>
  <c r="C25" i="809" s="1"/>
  <c r="C16" i="807"/>
  <c r="C17" i="807" s="1"/>
  <c r="C21" i="807" s="1"/>
  <c r="C25" i="807" s="1"/>
  <c r="C16" i="806"/>
  <c r="C17" i="806" s="1"/>
  <c r="C21" i="806" s="1"/>
  <c r="C25" i="806" s="1"/>
  <c r="E25" i="805"/>
  <c r="C27" i="805"/>
  <c r="C29" i="805" s="1"/>
  <c r="C16" i="804"/>
  <c r="C17" i="804" s="1"/>
  <c r="C21" i="804" s="1"/>
  <c r="C25" i="804" s="1"/>
  <c r="C16" i="803"/>
  <c r="C17" i="803" s="1"/>
  <c r="C21" i="803" s="1"/>
  <c r="C25" i="803" s="1"/>
  <c r="C16" i="801"/>
  <c r="C17" i="801" s="1"/>
  <c r="C21" i="801" s="1"/>
  <c r="C25" i="801" s="1"/>
  <c r="C16" i="800"/>
  <c r="C17" i="800" s="1"/>
  <c r="C21" i="800" s="1"/>
  <c r="C25" i="800" s="1"/>
  <c r="C17" i="799"/>
  <c r="C21" i="799" s="1"/>
  <c r="C25" i="799" s="1"/>
  <c r="C16" i="798"/>
  <c r="G9" i="798"/>
  <c r="C17" i="798"/>
  <c r="C21" i="798" s="1"/>
  <c r="C25" i="798" s="1"/>
  <c r="C27" i="798" s="1"/>
  <c r="C29" i="798" s="1"/>
  <c r="C17" i="797"/>
  <c r="C21" i="797" s="1"/>
  <c r="C25" i="797" s="1"/>
  <c r="C16" i="796"/>
  <c r="C17" i="796" s="1"/>
  <c r="C21" i="796" s="1"/>
  <c r="C25" i="796" s="1"/>
  <c r="C16" i="795"/>
  <c r="C17" i="795" s="1"/>
  <c r="C21" i="795" s="1"/>
  <c r="C25" i="795" s="1"/>
  <c r="C16" i="794"/>
  <c r="C17" i="794" s="1"/>
  <c r="C21" i="794" s="1"/>
  <c r="C25" i="794" s="1"/>
  <c r="C16" i="781"/>
  <c r="C17" i="781" s="1"/>
  <c r="C21" i="781" s="1"/>
  <c r="C25" i="781" s="1"/>
  <c r="C16" i="779"/>
  <c r="C17" i="779" s="1"/>
  <c r="C21" i="779" s="1"/>
  <c r="C25" i="779" s="1"/>
  <c r="C27" i="813" l="1"/>
  <c r="C29" i="813" s="1"/>
  <c r="E25" i="813"/>
  <c r="C27" i="812"/>
  <c r="C29" i="812" s="1"/>
  <c r="E25" i="812"/>
  <c r="C27" i="811"/>
  <c r="C29" i="811" s="1"/>
  <c r="E25" i="811"/>
  <c r="C27" i="810"/>
  <c r="C29" i="810" s="1"/>
  <c r="E25" i="810"/>
  <c r="C27" i="809"/>
  <c r="C29" i="809" s="1"/>
  <c r="E25" i="809"/>
  <c r="C27" i="807"/>
  <c r="C29" i="807" s="1"/>
  <c r="E25" i="807"/>
  <c r="C27" i="806"/>
  <c r="C29" i="806" s="1"/>
  <c r="E25" i="806"/>
  <c r="C33" i="805"/>
  <c r="C35" i="805" s="1"/>
  <c r="C27" i="804"/>
  <c r="C29" i="804" s="1"/>
  <c r="E25" i="804"/>
  <c r="C27" i="803"/>
  <c r="C29" i="803" s="1"/>
  <c r="E25" i="803"/>
  <c r="C27" i="801"/>
  <c r="C29" i="801" s="1"/>
  <c r="E25" i="801"/>
  <c r="C27" i="800"/>
  <c r="C29" i="800" s="1"/>
  <c r="E25" i="800"/>
  <c r="C27" i="799"/>
  <c r="C29" i="799" s="1"/>
  <c r="C33" i="799" s="1"/>
  <c r="E25" i="799"/>
  <c r="E25" i="798"/>
  <c r="C35" i="798"/>
  <c r="C27" i="797"/>
  <c r="C29" i="797" s="1"/>
  <c r="E25" i="797"/>
  <c r="C27" i="796"/>
  <c r="C29" i="796" s="1"/>
  <c r="E25" i="796"/>
  <c r="C27" i="795"/>
  <c r="C29" i="795" s="1"/>
  <c r="E25" i="795"/>
  <c r="C27" i="794"/>
  <c r="C29" i="794" s="1"/>
  <c r="E25" i="794"/>
  <c r="C27" i="781"/>
  <c r="C29" i="781" s="1"/>
  <c r="E25" i="781"/>
  <c r="C27" i="779"/>
  <c r="C29" i="779" s="1"/>
  <c r="E25" i="779"/>
  <c r="C33" i="813" l="1"/>
  <c r="C35" i="813" s="1"/>
  <c r="C33" i="812"/>
  <c r="C35" i="812" s="1"/>
  <c r="C35" i="811"/>
  <c r="C33" i="810"/>
  <c r="C35" i="810" s="1"/>
  <c r="C33" i="809"/>
  <c r="C35" i="809" s="1"/>
  <c r="C33" i="807"/>
  <c r="C35" i="807" s="1"/>
  <c r="C33" i="806"/>
  <c r="C35" i="806" s="1"/>
  <c r="C33" i="804"/>
  <c r="C35" i="804" s="1"/>
  <c r="C33" i="803"/>
  <c r="C35" i="803" s="1"/>
  <c r="C33" i="801"/>
  <c r="C35" i="801" s="1"/>
  <c r="C33" i="800"/>
  <c r="C35" i="800" s="1"/>
  <c r="C35" i="799"/>
  <c r="C33" i="797"/>
  <c r="C35" i="797" s="1"/>
  <c r="C33" i="796"/>
  <c r="C35" i="796" s="1"/>
  <c r="C33" i="795"/>
  <c r="C35" i="795" s="1"/>
  <c r="C33" i="794"/>
  <c r="C35" i="794" s="1"/>
  <c r="C35" i="781"/>
  <c r="C33" i="779"/>
  <c r="C35" i="779" s="1"/>
  <c r="H42" i="465" l="1"/>
  <c r="G42" i="465"/>
  <c r="F42" i="465"/>
  <c r="F41" i="465"/>
  <c r="E41" i="465"/>
  <c r="G41" i="465" s="1"/>
  <c r="G40" i="465"/>
  <c r="F40" i="465"/>
  <c r="E40" i="465"/>
  <c r="F39" i="465"/>
  <c r="G39" i="465"/>
  <c r="H41" i="465" l="1"/>
  <c r="H40" i="465"/>
  <c r="F44" i="465"/>
  <c r="C4" i="465" s="1"/>
  <c r="C5" i="465" s="1"/>
  <c r="G44" i="465"/>
  <c r="C8" i="465" s="1"/>
  <c r="H39" i="465"/>
  <c r="C6" i="465" l="1"/>
  <c r="H44" i="465"/>
  <c r="C14" i="465"/>
  <c r="C9" i="465"/>
  <c r="C12" i="465" s="1"/>
  <c r="C19" i="465" l="1"/>
  <c r="C23" i="465"/>
  <c r="C10" i="465"/>
  <c r="C17" i="465" s="1"/>
  <c r="C21" i="465" l="1"/>
  <c r="C25" i="465" s="1"/>
  <c r="C27" i="465" l="1"/>
  <c r="C29" i="465" s="1"/>
  <c r="C35" i="465" s="1"/>
  <c r="E25" i="465"/>
</calcChain>
</file>

<file path=xl/sharedStrings.xml><?xml version="1.0" encoding="utf-8"?>
<sst xmlns="http://schemas.openxmlformats.org/spreadsheetml/2006/main" count="1302" uniqueCount="180">
  <si>
    <t>Costo Producto</t>
  </si>
  <si>
    <t>Iva Costo Producto</t>
  </si>
  <si>
    <t>CREDITO FISCAL</t>
  </si>
  <si>
    <t>Total Costo</t>
  </si>
  <si>
    <t>Precio Venta Producto</t>
  </si>
  <si>
    <t>Iva Venta Producto</t>
  </si>
  <si>
    <t>DEBITO FISCAL</t>
  </si>
  <si>
    <t>Total Venta</t>
  </si>
  <si>
    <t>Iva</t>
  </si>
  <si>
    <t>SII</t>
  </si>
  <si>
    <t>MENSUAL</t>
  </si>
  <si>
    <t>20 DE CADA MES</t>
  </si>
  <si>
    <t xml:space="preserve"> </t>
  </si>
  <si>
    <t>Ganancia Bruta(Venta-Costo)</t>
  </si>
  <si>
    <t>Comision Flete - Mercado Libre</t>
  </si>
  <si>
    <t>Comisión Bancaria Flow - Transbank</t>
  </si>
  <si>
    <t>Ganancia Neta( Despues de Iva y Flete)</t>
  </si>
  <si>
    <t xml:space="preserve">Comisión Vendedor </t>
  </si>
  <si>
    <t>Ganancia Final despues de %</t>
  </si>
  <si>
    <t>Provisiòn ISLR 12,5%</t>
  </si>
  <si>
    <t xml:space="preserve">PROVISION CONTABLE </t>
  </si>
  <si>
    <t>ANUAL</t>
  </si>
  <si>
    <t xml:space="preserve">31 DE MARZO </t>
  </si>
  <si>
    <t>Ganancia despues de ISLR 12,5%</t>
  </si>
  <si>
    <t>AS</t>
  </si>
  <si>
    <t xml:space="preserve">Porcentaje Ganancia </t>
  </si>
  <si>
    <t>Apartado de Reinversion 10%</t>
  </si>
  <si>
    <t xml:space="preserve">APARTADO </t>
  </si>
  <si>
    <t>GANANCIA NETA DESPUES DEL 10% REINVERSION</t>
  </si>
  <si>
    <t>GANANCIA INVERSIONISTA</t>
  </si>
  <si>
    <t xml:space="preserve">COMISIONES </t>
  </si>
  <si>
    <t xml:space="preserve">GANANCIA NETA VA COMPANY SUPPLY SPA </t>
  </si>
  <si>
    <t>CALCULO DE COTIZACION</t>
  </si>
  <si>
    <t>Productos</t>
  </si>
  <si>
    <t>Cant</t>
  </si>
  <si>
    <t>Costo Unit.</t>
  </si>
  <si>
    <t>Precio S/IVA</t>
  </si>
  <si>
    <t>Total Costo S/IVA</t>
  </si>
  <si>
    <t>Total Precio S/IVA</t>
  </si>
  <si>
    <t>Ganancia / Perdida</t>
  </si>
  <si>
    <t>SIERRA SABLE</t>
  </si>
  <si>
    <t>TOTALES</t>
  </si>
  <si>
    <t xml:space="preserve">ESTANTE EPOXITO </t>
  </si>
  <si>
    <t>DYNOS RESTAURANTE</t>
  </si>
  <si>
    <t>LITROS</t>
  </si>
  <si>
    <t>Comision Factoring</t>
  </si>
  <si>
    <t xml:space="preserve">PAGADO </t>
  </si>
  <si>
    <t>Estanteria Epoxica Gris 180X90X45</t>
  </si>
  <si>
    <t xml:space="preserve">CHISPEROS DE PISTOLA </t>
  </si>
  <si>
    <t>RELACION DE GASTO</t>
  </si>
  <si>
    <t xml:space="preserve">PAGAR A </t>
  </si>
  <si>
    <t xml:space="preserve">GATE GOURMET </t>
  </si>
  <si>
    <t>COMPRA DE PRODUCTO</t>
  </si>
  <si>
    <t>TC BCI AVANTTI</t>
  </si>
  <si>
    <t>GASTO BENCINA Y FLETE</t>
  </si>
  <si>
    <t xml:space="preserve">TC B. CHILE JARVI </t>
  </si>
  <si>
    <t>CHISPERO ELECTRONICO FORMA PISTOLA CON PIEDRA METALICO</t>
  </si>
  <si>
    <t xml:space="preserve">LATAS PARA HORNO </t>
  </si>
  <si>
    <t>DESCRIPCION</t>
  </si>
  <si>
    <t>MONTO</t>
  </si>
  <si>
    <t>PAGO FLETE MARION</t>
  </si>
  <si>
    <t>FLETES MARION</t>
  </si>
  <si>
    <t>ARRIENDO FURGON</t>
  </si>
  <si>
    <t>DEV CTA JARVI B. CHILE</t>
  </si>
  <si>
    <t>EMBALAJE BANDEJAS</t>
  </si>
  <si>
    <t>AYUDANTE</t>
  </si>
  <si>
    <t>BENCINA</t>
  </si>
  <si>
    <t>AHORROS JARVI</t>
  </si>
  <si>
    <t>COMISION PTO ML</t>
  </si>
  <si>
    <t>DEV LINEA DE CREDITO VA</t>
  </si>
  <si>
    <t xml:space="preserve">DESAYUNO AYUDANTE Y YO </t>
  </si>
  <si>
    <t>DEVOLUCION MAXXA LC</t>
  </si>
  <si>
    <t xml:space="preserve">UBER VUEKTA CASA DE CURICO </t>
  </si>
  <si>
    <t>DEV. TC JARVI B. CHILE</t>
  </si>
  <si>
    <t>Gastos Comisiones ML - Bencina  - Embalaje</t>
  </si>
  <si>
    <t>PRESTAMO FONDOS ML</t>
  </si>
  <si>
    <t>PRESTAMO VA ML</t>
  </si>
  <si>
    <t>https://www.elsalondelpanadero.cl/product/bandeja-perforada/</t>
  </si>
  <si>
    <t>LATAS PARA HORNO ZUCHELI 60X80CM PERFORADAS</t>
  </si>
  <si>
    <t>https://kuppel.cl/producto/bandeja-6080-perforada/</t>
  </si>
  <si>
    <t>LATAS PARA HORNO ZUCHELI 60X80CM LISAS</t>
  </si>
  <si>
    <t xml:space="preserve">SEÑOR IVAN ULLOLA FABRICA </t>
  </si>
  <si>
    <t>PAGO DE CORDELES FRAILES</t>
  </si>
  <si>
    <t>PRESTAMO MAXXA</t>
  </si>
  <si>
    <t>FLETE PDQ</t>
  </si>
  <si>
    <t>DEV DINERO ML VA</t>
  </si>
  <si>
    <t>EMBALAJE BORIS</t>
  </si>
  <si>
    <t>Pago Boris</t>
  </si>
  <si>
    <t>CORDELILLO 6 MM</t>
  </si>
  <si>
    <t>DINERO VA</t>
  </si>
  <si>
    <t>GANANCIA SOCIOS</t>
  </si>
  <si>
    <t>SOCIOS</t>
  </si>
  <si>
    <t>GANANCIA VA</t>
  </si>
  <si>
    <t>VA</t>
  </si>
  <si>
    <t>APARTADO DE IVA</t>
  </si>
  <si>
    <t>IVA</t>
  </si>
  <si>
    <t>CORDEL 2,5MM 1000 METROS</t>
  </si>
  <si>
    <t>ENVIO</t>
  </si>
  <si>
    <t>4377-248-COT26</t>
  </si>
  <si>
    <t>I MUNICIPALIDAD DE SAN ROSENDO</t>
  </si>
  <si>
    <t>AVNIND16102 NEUMATICO 16.9-28 12PR TL R4D ADVANCE</t>
  </si>
  <si>
    <t>AVNIND16103 NEUMATICO 16/70-20 (405/70-20) 14PR TL E2H ADVANCE</t>
  </si>
  <si>
    <t>110765 VITRINA PASTELERA RECTA 100 CM</t>
  </si>
  <si>
    <t>https://www.mideastore.cl/beer-cooler-no-frost-96-lts-mbc-960n125sen/p</t>
  </si>
  <si>
    <t>REBANADORA DE CINTA SINMAG, MOD. HS-3, PAN Y BIZCOCHOS, MONOFASICA</t>
  </si>
  <si>
    <t>https://www.maquipan.cl/</t>
  </si>
  <si>
    <t xml:space="preserve">CORTADORA VERTICAL DE PAN SOBREMESON MONOFASICA JAC, MOD. ZIP (A PEDIDO CON ABONO 50% 120 DIAS) </t>
  </si>
  <si>
    <t xml:space="preserve">TRASLADO DE EQUIPOS </t>
  </si>
  <si>
    <t>VSICOOLER</t>
  </si>
  <si>
    <t>FLETE</t>
  </si>
  <si>
    <t>GATE</t>
  </si>
  <si>
    <t xml:space="preserve">FRIGOBAR </t>
  </si>
  <si>
    <t>BEER COOLER NO FROST 96 LTS</t>
  </si>
  <si>
    <t>109668 HORNO GPANIZ TURBO 8 BANDEJAS FTG-240 C/BANDEJAS 58 x 68 PERFORADAS</t>
  </si>
  <si>
    <t>CONGELADOR FREEZER 350LTS TAPA DURA DUAL</t>
  </si>
  <si>
    <t>bozzo</t>
  </si>
  <si>
    <t>PAELLERA 16 PORCIONES HIERRO PULIDO 55CM LA IDEAL GARCIMA</t>
  </si>
  <si>
    <t>https://www.elvolcan.cl/paelleras/paellera-16-porciones-hierro-pulido-la-ideal-garcima-55cm-4482.html</t>
  </si>
  <si>
    <t>PAELLERA VALENCIANA 14 PORCIONES INOXIDABLE 50CM 70050 GARCIMA</t>
  </si>
  <si>
    <t>https://www.elvolcan.cl/paelleras/paellera-valenciana-14-porciones-garcima-inoxidable-50cm-70050-300049.html</t>
  </si>
  <si>
    <t>PORUÑA PLANA 7 OZ DECHEF</t>
  </si>
  <si>
    <t>https://www.porcelanosa.cl/poruna-plana-7-oz-dechef?srsltid=AfmBOop1MbWQokUzr5zQq-rL0v7Mr5bX8FFpz1_Vp-11sqCDt1n6Aroz</t>
  </si>
  <si>
    <t>00011T TAPAS GASTRONOMICAS PARA GN 1/1 ACERO INOXIDABLE</t>
  </si>
  <si>
    <t>https://www.imahe.cl/Cocina-y-Preparacion/11860-tapa-contenedor-gastronomico-acero-inoxidable-gn-1-1.html</t>
  </si>
  <si>
    <t>CINTA DE EMBALAJES GRIS FIXO 40MTRS - PACK 6 UNIDADES Q</t>
  </si>
  <si>
    <t>POLIETILENO TRANSPARENTE 4X25MTRS</t>
  </si>
  <si>
    <t>https://iberica.cl/producto/polietileno-transparente-4x25-mts/</t>
  </si>
  <si>
    <t>CINTA DUCTAPE GRIS MARCA MASTER 48MM X 50 METROS</t>
  </si>
  <si>
    <t>230121 MANTENEDOR DE PLATOS CALIENTES ECOBECK HW-11-21, 1 CUERPO</t>
  </si>
  <si>
    <t>https://www.imahe.cl/Mobiliario-Cocina/7594-mantenedor-de-alimentos-11-niveles-gn2-1-volter.html</t>
  </si>
  <si>
    <t xml:space="preserve">DEPOSITO GASTRONOMICO GN 1/1 X 10 </t>
  </si>
  <si>
    <t>biggi</t>
  </si>
  <si>
    <t>imeco</t>
  </si>
  <si>
    <t xml:space="preserve">110364 CONGELADOR 1 PTA VIDRIO 574 LITROS TURBO COOLING </t>
  </si>
  <si>
    <t>https://bozzo.cl/producto/congelador-1-pta-vidrio-turbo-cooling/</t>
  </si>
  <si>
    <t>I-CON-089 CONGELADOR FREEZER 600LTS TAPA DURA DUAL</t>
  </si>
  <si>
    <t>https://bozzo.cl/producto/congelador-dual-600-lts-tapa-dura-2/</t>
  </si>
  <si>
    <t>CUERDA POLIPROPILENO TRENZADO 6 MM BLANCA 6 K - 394 M APROX</t>
  </si>
  <si>
    <t>CUERDA POLIPROPILENO TRENZADO 4 MM BLANCA - 420 MTRS</t>
  </si>
  <si>
    <t>CORDELILLO POLIPROPILENO DE 1,5 MM 1000 METROS</t>
  </si>
  <si>
    <t xml:space="preserve">BANDEJAS SELLADAS PLASTICAS </t>
  </si>
  <si>
    <t>GATE GOURMET</t>
  </si>
  <si>
    <t>CAJA UNIVERSAL 46 LITROS 625 X 444 X 226 MM - COLOR ROJO</t>
  </si>
  <si>
    <t>https://sitradechile.cl/producto/caja-universal-46-litros-sitrade-chile/</t>
  </si>
  <si>
    <t xml:space="preserve">CAJA UNIVERSAL 46 LITROS 625 X 444 X 226 MM - COLOR VERDE </t>
  </si>
  <si>
    <t>FLETE LOCAL SANTIAGO</t>
  </si>
  <si>
    <t>AGRO ADVANCE</t>
  </si>
  <si>
    <t>109853 MESON CENTRO INOX 150 x 100 x 90 CM - REPISA Y PATAS ACERO GALV.</t>
  </si>
  <si>
    <t>Pago Ayudante</t>
  </si>
  <si>
    <t>PLANCHA ELECTRICA ITA PANINI GRILL 30,5 x 40 x 21cm SIMPLE - ACANALADA ARRIBA/LISA ABAJO</t>
  </si>
  <si>
    <t xml:space="preserve">PLANCHA PANINI ACANALADA ARRIBA Y ABAJO </t>
  </si>
  <si>
    <t xml:space="preserve">VA110769 VITRINA PASTELERA RECTA DE 200CM </t>
  </si>
  <si>
    <t>VA57400 CONGELADOR 1 PUERTA VIDRIO ACERO INOX TURBO COLLING 574 LITROS</t>
  </si>
  <si>
    <t xml:space="preserve">COMPRA DE NEUMATICOS MOVSA </t>
  </si>
  <si>
    <t xml:space="preserve">CHEQUE MOVSA </t>
  </si>
  <si>
    <t xml:space="preserve">IVA FACTURA APARTADO </t>
  </si>
  <si>
    <t xml:space="preserve">APARTADO PLAZO FIJO SANTANDER </t>
  </si>
  <si>
    <t xml:space="preserve">COMISIONES PEDRO </t>
  </si>
  <si>
    <t xml:space="preserve">COMISION PEDRO </t>
  </si>
  <si>
    <t>PAGO PEDRO BINANCE</t>
  </si>
  <si>
    <t>APARTADO SOCIO</t>
  </si>
  <si>
    <t>APARTADO VA</t>
  </si>
  <si>
    <t xml:space="preserve">SOCIO </t>
  </si>
  <si>
    <t xml:space="preserve">VA COMPANY </t>
  </si>
  <si>
    <t>BANCO DE CHILE JA</t>
  </si>
  <si>
    <t xml:space="preserve">BANCO DE CHILE VA </t>
  </si>
  <si>
    <t xml:space="preserve">FACTORING </t>
  </si>
  <si>
    <t>PAGAR FACTORING</t>
  </si>
  <si>
    <t>MAXXA FINANCIERA</t>
  </si>
  <si>
    <t>COMPRA DE CORDEL DE 4MM</t>
  </si>
  <si>
    <t>COMPRA DE CORDEL DE 1,5MM</t>
  </si>
  <si>
    <t xml:space="preserve">APARTADO IVA </t>
  </si>
  <si>
    <t xml:space="preserve">PLAZO FIJO B SANTADER </t>
  </si>
  <si>
    <t xml:space="preserve">APARTADO SOCIO </t>
  </si>
  <si>
    <t xml:space="preserve">APARTADO VA </t>
  </si>
  <si>
    <t xml:space="preserve">BANCO DE CHILE JA </t>
  </si>
  <si>
    <t>BANCO DE CHILE VA</t>
  </si>
  <si>
    <t>ESTE CASO SERA DEVUELTO A LA FABRICA PARA PODER REGRESAR DINERO A MAXXA</t>
  </si>
  <si>
    <t xml:space="preserve">ORICA CHILE </t>
  </si>
  <si>
    <t xml:space="preserve">CORDELILLO 4MM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</si>
</sst>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64" formatCode="_-* #,##0.00_-;\-* #,##0.00_-;_-* &quot;-&quot;??_-;_-@_-"/>
    <numFmt numFmtId="165" formatCode="_ * #,##0.00_ ;_ * \-#,##0.00_ ;_ * &quot;-&quot;_ ;_ @_ "/>
    <numFmt numFmtId="166" formatCode="_-&quot;R$&quot;\ * #,##0.00_-;\-&quot;R$&quot;\ * #,##0.00_-;_-&quot;R$&quot;\ * &quot;-&quot;??_-;_-@_-"/>
    <numFmt numFmtId="167" formatCode="_ * #,##0.0_ ;_ * \-#,##0.0_ ;_ * &quot;-&quot;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name val="Calibri Light"/>
      <family val="2"/>
      <scheme val="major"/>
    </font>
    <font>
      <sz val="10"/>
      <color rgb="FF000000"/>
      <name val="Times New Roman"/>
      <family val="1"/>
    </font>
    <font>
      <sz val="11"/>
      <color rgb="FF00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theme="1"/>
      <name val="Calibri Light"/>
      <scheme val="major"/>
    </font>
    <font>
      <b/>
      <sz val="11"/>
      <color theme="1"/>
      <name val="Calibri Light"/>
      <scheme val="major"/>
    </font>
    <font>
      <b/>
      <sz val="11"/>
      <color rgb="FFFF0000"/>
      <name val="Calibri Light"/>
      <scheme val="major"/>
    </font>
    <font>
      <b/>
      <sz val="11"/>
      <name val="Calibri Light"/>
      <scheme val="major"/>
    </font>
    <font>
      <sz val="11"/>
      <color rgb="FF000000"/>
      <name val="Calibri Light"/>
      <scheme val="major"/>
    </font>
    <font>
      <sz val="11"/>
      <color rgb="FFC00000"/>
      <name val="Calibri Light"/>
      <scheme val="maj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" fillId="0" borderId="0" applyBorder="0"/>
    <xf numFmtId="0" fontId="3" fillId="0" borderId="0" applyNumberFormat="0" applyFill="0" applyBorder="0" applyAlignment="0" applyProtection="0"/>
    <xf numFmtId="0" fontId="9" fillId="0" borderId="0"/>
    <xf numFmtId="0" fontId="3" fillId="0" borderId="0" applyNumberFormat="0" applyFill="0" applyBorder="0" applyAlignment="0" applyProtection="0"/>
  </cellStyleXfs>
  <cellXfs count="166">
    <xf numFmtId="0" fontId="0" fillId="0" borderId="0" xfId="0"/>
    <xf numFmtId="0" fontId="4" fillId="0" borderId="0" xfId="0" applyFont="1"/>
    <xf numFmtId="4" fontId="4" fillId="0" borderId="0" xfId="0" applyNumberFormat="1" applyFont="1"/>
    <xf numFmtId="0" fontId="5" fillId="0" borderId="0" xfId="0" applyFont="1"/>
    <xf numFmtId="165" fontId="4" fillId="0" borderId="0" xfId="1" applyNumberFormat="1" applyFont="1"/>
    <xf numFmtId="165" fontId="4" fillId="0" borderId="0" xfId="1" applyNumberFormat="1" applyFont="1" applyBorder="1"/>
    <xf numFmtId="165" fontId="4" fillId="0" borderId="1" xfId="1" applyNumberFormat="1" applyFont="1" applyBorder="1"/>
    <xf numFmtId="165" fontId="5" fillId="2" borderId="0" xfId="1" applyNumberFormat="1" applyFont="1" applyFill="1"/>
    <xf numFmtId="165" fontId="5" fillId="0" borderId="0" xfId="1" applyNumberFormat="1" applyFont="1"/>
    <xf numFmtId="9" fontId="5" fillId="0" borderId="0" xfId="0" applyNumberFormat="1" applyFont="1" applyAlignment="1">
      <alignment horizontal="left"/>
    </xf>
    <xf numFmtId="9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43" fontId="4" fillId="0" borderId="0" xfId="0" applyNumberFormat="1" applyFont="1"/>
    <xf numFmtId="43" fontId="5" fillId="0" borderId="0" xfId="0" applyNumberFormat="1" applyFont="1"/>
    <xf numFmtId="4" fontId="5" fillId="0" borderId="0" xfId="0" applyNumberFormat="1" applyFont="1"/>
    <xf numFmtId="165" fontId="4" fillId="0" borderId="0" xfId="1" applyNumberFormat="1" applyFont="1" applyFill="1" applyBorder="1"/>
    <xf numFmtId="43" fontId="5" fillId="3" borderId="0" xfId="0" applyNumberFormat="1" applyFont="1" applyFill="1"/>
    <xf numFmtId="165" fontId="4" fillId="3" borderId="0" xfId="1" applyNumberFormat="1" applyFont="1" applyFill="1"/>
    <xf numFmtId="0" fontId="4" fillId="3" borderId="0" xfId="0" applyFont="1" applyFill="1"/>
    <xf numFmtId="165" fontId="5" fillId="2" borderId="2" xfId="1" applyNumberFormat="1" applyFont="1" applyFill="1" applyBorder="1"/>
    <xf numFmtId="43" fontId="5" fillId="0" borderId="2" xfId="0" applyNumberFormat="1" applyFont="1" applyBorder="1"/>
    <xf numFmtId="43" fontId="5" fillId="3" borderId="2" xfId="0" applyNumberFormat="1" applyFont="1" applyFill="1" applyBorder="1"/>
    <xf numFmtId="165" fontId="5" fillId="3" borderId="0" xfId="1" applyNumberFormat="1" applyFont="1" applyFill="1" applyBorder="1"/>
    <xf numFmtId="0" fontId="5" fillId="0" borderId="0" xfId="0" applyFont="1" applyAlignment="1">
      <alignment horizontal="left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4" fontId="5" fillId="2" borderId="8" xfId="0" applyNumberFormat="1" applyFont="1" applyFill="1" applyBorder="1" applyAlignment="1">
      <alignment horizontal="center"/>
    </xf>
    <xf numFmtId="4" fontId="5" fillId="2" borderId="9" xfId="0" applyNumberFormat="1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4" fontId="4" fillId="0" borderId="6" xfId="0" applyNumberFormat="1" applyFont="1" applyBorder="1"/>
    <xf numFmtId="165" fontId="4" fillId="0" borderId="0" xfId="0" applyNumberFormat="1" applyFont="1"/>
    <xf numFmtId="4" fontId="5" fillId="4" borderId="0" xfId="0" applyNumberFormat="1" applyFont="1" applyFill="1"/>
    <xf numFmtId="43" fontId="7" fillId="3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165" fontId="8" fillId="0" borderId="6" xfId="1" applyNumberFormat="1" applyFont="1" applyBorder="1"/>
    <xf numFmtId="0" fontId="8" fillId="0" borderId="12" xfId="0" applyFont="1" applyBorder="1" applyAlignment="1">
      <alignment horizontal="center"/>
    </xf>
    <xf numFmtId="165" fontId="8" fillId="0" borderId="12" xfId="1" applyNumberFormat="1" applyFont="1" applyBorder="1"/>
    <xf numFmtId="165" fontId="4" fillId="0" borderId="12" xfId="1" applyNumberFormat="1" applyFont="1" applyBorder="1"/>
    <xf numFmtId="165" fontId="4" fillId="0" borderId="11" xfId="1" applyNumberFormat="1" applyFont="1" applyBorder="1"/>
    <xf numFmtId="0" fontId="8" fillId="0" borderId="13" xfId="0" applyFont="1" applyBorder="1" applyAlignment="1">
      <alignment horizontal="center"/>
    </xf>
    <xf numFmtId="165" fontId="8" fillId="0" borderId="13" xfId="1" applyNumberFormat="1" applyFont="1" applyBorder="1"/>
    <xf numFmtId="4" fontId="4" fillId="0" borderId="10" xfId="0" applyNumberFormat="1" applyFont="1" applyBorder="1"/>
    <xf numFmtId="0" fontId="10" fillId="0" borderId="6" xfId="0" applyFont="1" applyBorder="1"/>
    <xf numFmtId="0" fontId="10" fillId="0" borderId="12" xfId="0" applyFont="1" applyBorder="1"/>
    <xf numFmtId="165" fontId="4" fillId="0" borderId="11" xfId="1" applyNumberFormat="1" applyFont="1" applyFill="1" applyBorder="1"/>
    <xf numFmtId="0" fontId="4" fillId="7" borderId="12" xfId="0" applyFont="1" applyFill="1" applyBorder="1" applyAlignment="1">
      <alignment wrapText="1"/>
    </xf>
    <xf numFmtId="0" fontId="8" fillId="0" borderId="14" xfId="0" applyFont="1" applyBorder="1" applyAlignment="1">
      <alignment horizontal="center"/>
    </xf>
    <xf numFmtId="0" fontId="10" fillId="0" borderId="11" xfId="0" applyFont="1" applyBorder="1"/>
    <xf numFmtId="0" fontId="10" fillId="0" borderId="15" xfId="0" applyFont="1" applyBorder="1"/>
    <xf numFmtId="165" fontId="4" fillId="2" borderId="0" xfId="1" applyNumberFormat="1" applyFont="1" applyFill="1"/>
    <xf numFmtId="0" fontId="3" fillId="0" borderId="0" xfId="4" applyAlignment="1">
      <alignment horizontal="center"/>
    </xf>
    <xf numFmtId="0" fontId="3" fillId="0" borderId="0" xfId="4"/>
    <xf numFmtId="165" fontId="5" fillId="3" borderId="0" xfId="1" applyNumberFormat="1" applyFont="1" applyFill="1"/>
    <xf numFmtId="167" fontId="4" fillId="0" borderId="0" xfId="1" applyNumberFormat="1" applyFont="1"/>
    <xf numFmtId="165" fontId="10" fillId="0" borderId="6" xfId="1" applyNumberFormat="1" applyFont="1" applyBorder="1"/>
    <xf numFmtId="4" fontId="4" fillId="0" borderId="17" xfId="0" applyNumberFormat="1" applyFont="1" applyBorder="1"/>
    <xf numFmtId="0" fontId="5" fillId="2" borderId="6" xfId="0" applyFont="1" applyFill="1" applyBorder="1" applyAlignment="1">
      <alignment horizontal="center"/>
    </xf>
    <xf numFmtId="4" fontId="5" fillId="2" borderId="6" xfId="0" applyNumberFormat="1" applyFont="1" applyFill="1" applyBorder="1" applyAlignment="1">
      <alignment horizontal="center"/>
    </xf>
    <xf numFmtId="0" fontId="10" fillId="0" borderId="17" xfId="0" applyFont="1" applyBorder="1"/>
    <xf numFmtId="0" fontId="3" fillId="0" borderId="0" xfId="6"/>
    <xf numFmtId="0" fontId="4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164" fontId="4" fillId="0" borderId="0" xfId="0" applyNumberFormat="1" applyFont="1"/>
    <xf numFmtId="0" fontId="0" fillId="0" borderId="12" xfId="6" applyFont="1" applyBorder="1"/>
    <xf numFmtId="0" fontId="4" fillId="3" borderId="12" xfId="0" applyFont="1" applyFill="1" applyBorder="1"/>
    <xf numFmtId="0" fontId="4" fillId="3" borderId="12" xfId="0" applyFont="1" applyFill="1" applyBorder="1" applyAlignment="1">
      <alignment horizontal="center"/>
    </xf>
    <xf numFmtId="4" fontId="4" fillId="3" borderId="12" xfId="0" applyNumberFormat="1" applyFont="1" applyFill="1" applyBorder="1"/>
    <xf numFmtId="165" fontId="4" fillId="3" borderId="6" xfId="1" applyNumberFormat="1" applyFont="1" applyFill="1" applyBorder="1"/>
    <xf numFmtId="4" fontId="4" fillId="3" borderId="6" xfId="0" applyNumberFormat="1" applyFont="1" applyFill="1" applyBorder="1"/>
    <xf numFmtId="0" fontId="11" fillId="0" borderId="0" xfId="0" applyFont="1"/>
    <xf numFmtId="4" fontId="11" fillId="0" borderId="0" xfId="0" applyNumberFormat="1" applyFont="1"/>
    <xf numFmtId="0" fontId="11" fillId="0" borderId="0" xfId="0" applyFont="1" applyAlignment="1">
      <alignment horizontal="left"/>
    </xf>
    <xf numFmtId="0" fontId="0" fillId="0" borderId="12" xfId="0" applyBorder="1"/>
    <xf numFmtId="0" fontId="4" fillId="0" borderId="0" xfId="0" applyFont="1" applyAlignment="1">
      <alignment horizontal="left"/>
    </xf>
    <xf numFmtId="165" fontId="4" fillId="0" borderId="6" xfId="1" applyNumberFormat="1" applyFont="1" applyBorder="1"/>
    <xf numFmtId="0" fontId="4" fillId="0" borderId="14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14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2" fontId="4" fillId="0" borderId="0" xfId="1" applyNumberFormat="1" applyFont="1"/>
    <xf numFmtId="4" fontId="4" fillId="0" borderId="0" xfId="1" applyNumberFormat="1" applyFont="1"/>
    <xf numFmtId="4" fontId="5" fillId="0" borderId="0" xfId="1" applyNumberFormat="1" applyFont="1"/>
    <xf numFmtId="14" fontId="4" fillId="0" borderId="0" xfId="1" applyNumberFormat="1" applyFont="1"/>
    <xf numFmtId="14" fontId="11" fillId="0" borderId="0" xfId="0" applyNumberFormat="1" applyFont="1"/>
    <xf numFmtId="0" fontId="0" fillId="0" borderId="22" xfId="6" applyFont="1" applyBorder="1"/>
    <xf numFmtId="0" fontId="5" fillId="8" borderId="0" xfId="0" applyFont="1" applyFill="1" applyAlignment="1">
      <alignment horizontal="center"/>
    </xf>
    <xf numFmtId="0" fontId="10" fillId="0" borderId="23" xfId="0" applyFont="1" applyBorder="1" applyAlignment="1">
      <alignment horizontal="center"/>
    </xf>
    <xf numFmtId="165" fontId="10" fillId="0" borderId="17" xfId="1" applyNumberFormat="1" applyFont="1" applyBorder="1"/>
    <xf numFmtId="165" fontId="4" fillId="0" borderId="17" xfId="1" applyNumberFormat="1" applyFont="1" applyBorder="1"/>
    <xf numFmtId="0" fontId="0" fillId="0" borderId="6" xfId="0" applyBorder="1"/>
    <xf numFmtId="0" fontId="10" fillId="0" borderId="6" xfId="0" applyFont="1" applyBorder="1" applyAlignment="1">
      <alignment horizontal="center"/>
    </xf>
    <xf numFmtId="0" fontId="12" fillId="0" borderId="0" xfId="0" applyFont="1"/>
    <xf numFmtId="4" fontId="12" fillId="0" borderId="0" xfId="0" applyNumberFormat="1" applyFont="1"/>
    <xf numFmtId="0" fontId="12" fillId="0" borderId="0" xfId="0" applyFont="1" applyAlignment="1">
      <alignment horizontal="left"/>
    </xf>
    <xf numFmtId="0" fontId="13" fillId="0" borderId="0" xfId="0" applyFont="1"/>
    <xf numFmtId="165" fontId="12" fillId="0" borderId="0" xfId="1" applyNumberFormat="1" applyFont="1"/>
    <xf numFmtId="165" fontId="12" fillId="0" borderId="1" xfId="1" applyNumberFormat="1" applyFont="1" applyBorder="1"/>
    <xf numFmtId="165" fontId="13" fillId="2" borderId="0" xfId="1" applyNumberFormat="1" applyFont="1" applyFill="1"/>
    <xf numFmtId="165" fontId="13" fillId="0" borderId="0" xfId="1" applyNumberFormat="1" applyFont="1"/>
    <xf numFmtId="9" fontId="13" fillId="0" borderId="0" xfId="0" applyNumberFormat="1" applyFont="1" applyAlignment="1">
      <alignment horizontal="left"/>
    </xf>
    <xf numFmtId="9" fontId="13" fillId="0" borderId="0" xfId="0" applyNumberFormat="1" applyFont="1" applyAlignment="1">
      <alignment horizontal="center"/>
    </xf>
    <xf numFmtId="4" fontId="13" fillId="0" borderId="0" xfId="0" applyNumberFormat="1" applyFont="1" applyAlignment="1">
      <alignment horizontal="center"/>
    </xf>
    <xf numFmtId="43" fontId="12" fillId="0" borderId="0" xfId="0" applyNumberFormat="1" applyFont="1"/>
    <xf numFmtId="43" fontId="13" fillId="0" borderId="0" xfId="0" applyNumberFormat="1" applyFont="1"/>
    <xf numFmtId="4" fontId="13" fillId="0" borderId="0" xfId="0" applyNumberFormat="1" applyFont="1"/>
    <xf numFmtId="165" fontId="12" fillId="2" borderId="0" xfId="1" applyNumberFormat="1" applyFont="1" applyFill="1"/>
    <xf numFmtId="43" fontId="15" fillId="3" borderId="0" xfId="0" applyNumberFormat="1" applyFont="1" applyFill="1" applyAlignment="1">
      <alignment horizontal="center"/>
    </xf>
    <xf numFmtId="43" fontId="13" fillId="3" borderId="0" xfId="0" applyNumberFormat="1" applyFont="1" applyFill="1"/>
    <xf numFmtId="165" fontId="12" fillId="3" borderId="0" xfId="1" applyNumberFormat="1" applyFont="1" applyFill="1"/>
    <xf numFmtId="0" fontId="12" fillId="3" borderId="0" xfId="0" applyFont="1" applyFill="1"/>
    <xf numFmtId="165" fontId="13" fillId="2" borderId="2" xfId="1" applyNumberFormat="1" applyFont="1" applyFill="1" applyBorder="1"/>
    <xf numFmtId="43" fontId="13" fillId="0" borderId="2" xfId="0" applyNumberFormat="1" applyFont="1" applyBorder="1"/>
    <xf numFmtId="43" fontId="13" fillId="3" borderId="2" xfId="0" applyNumberFormat="1" applyFont="1" applyFill="1" applyBorder="1"/>
    <xf numFmtId="0" fontId="13" fillId="0" borderId="0" xfId="0" applyFont="1" applyAlignment="1">
      <alignment horizontal="center"/>
    </xf>
    <xf numFmtId="165" fontId="13" fillId="3" borderId="0" xfId="1" applyNumberFormat="1" applyFont="1" applyFill="1"/>
    <xf numFmtId="167" fontId="12" fillId="0" borderId="0" xfId="1" applyNumberFormat="1" applyFont="1"/>
    <xf numFmtId="0" fontId="13" fillId="6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165" fontId="16" fillId="0" borderId="6" xfId="1" applyNumberFormat="1" applyFont="1" applyBorder="1"/>
    <xf numFmtId="165" fontId="12" fillId="0" borderId="0" xfId="0" applyNumberFormat="1" applyFont="1"/>
    <xf numFmtId="4" fontId="13" fillId="4" borderId="0" xfId="0" applyNumberFormat="1" applyFont="1" applyFill="1"/>
    <xf numFmtId="164" fontId="12" fillId="0" borderId="0" xfId="0" applyNumberFormat="1" applyFont="1"/>
    <xf numFmtId="49" fontId="12" fillId="0" borderId="0" xfId="0" applyNumberFormat="1" applyFont="1" applyAlignment="1">
      <alignment vertical="center" wrapText="1"/>
    </xf>
    <xf numFmtId="49" fontId="13" fillId="2" borderId="7" xfId="0" applyNumberFormat="1" applyFont="1" applyFill="1" applyBorder="1" applyAlignment="1">
      <alignment horizontal="center" vertical="center" wrapText="1"/>
    </xf>
    <xf numFmtId="49" fontId="13" fillId="2" borderId="8" xfId="0" applyNumberFormat="1" applyFont="1" applyFill="1" applyBorder="1" applyAlignment="1">
      <alignment horizontal="center" vertical="center" wrapText="1"/>
    </xf>
    <xf numFmtId="49" fontId="13" fillId="2" borderId="9" xfId="0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wrapText="1"/>
    </xf>
    <xf numFmtId="0" fontId="17" fillId="0" borderId="6" xfId="0" applyFont="1" applyBorder="1" applyAlignment="1">
      <alignment horizontal="center"/>
    </xf>
    <xf numFmtId="165" fontId="17" fillId="0" borderId="6" xfId="1" applyNumberFormat="1" applyFont="1" applyBorder="1"/>
    <xf numFmtId="4" fontId="12" fillId="0" borderId="6" xfId="0" applyNumberFormat="1" applyFont="1" applyBorder="1"/>
    <xf numFmtId="0" fontId="17" fillId="0" borderId="6" xfId="0" applyFont="1" applyBorder="1"/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4" fontId="5" fillId="2" borderId="11" xfId="0" applyNumberFormat="1" applyFont="1" applyFill="1" applyBorder="1" applyAlignment="1">
      <alignment horizontal="center"/>
    </xf>
    <xf numFmtId="43" fontId="13" fillId="3" borderId="0" xfId="0" applyNumberFormat="1" applyFont="1" applyFill="1" applyAlignment="1">
      <alignment horizontal="center"/>
    </xf>
    <xf numFmtId="165" fontId="4" fillId="0" borderId="0" xfId="1" applyNumberFormat="1" applyFont="1" applyAlignment="1">
      <alignment horizontal="center"/>
    </xf>
    <xf numFmtId="0" fontId="12" fillId="0" borderId="0" xfId="0" applyFont="1" applyAlignment="1">
      <alignment horizontal="center"/>
    </xf>
    <xf numFmtId="4" fontId="12" fillId="0" borderId="0" xfId="0" applyNumberFormat="1" applyFont="1" applyAlignment="1">
      <alignment horizontal="center"/>
    </xf>
    <xf numFmtId="0" fontId="5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13" fillId="4" borderId="3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 wrapText="1"/>
    </xf>
    <xf numFmtId="0" fontId="13" fillId="5" borderId="4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165" fontId="4" fillId="0" borderId="0" xfId="1" applyNumberFormat="1" applyFont="1" applyAlignment="1">
      <alignment horizontal="center"/>
    </xf>
  </cellXfs>
  <cellStyles count="7">
    <cellStyle name="Hipervínculo" xfId="4" builtinId="8"/>
    <cellStyle name="Hyperlink" xfId="6" xr:uid="{F9D99AD7-D967-4411-BA2A-05E19D6242D9}"/>
    <cellStyle name="Millares [0]" xfId="1" builtinId="6"/>
    <cellStyle name="Moneda 2" xfId="2" xr:uid="{BE943E98-6B07-47B4-86D0-E5F44B971B52}"/>
    <cellStyle name="Normal" xfId="0" builtinId="0"/>
    <cellStyle name="Normal 2" xfId="3" xr:uid="{ABC1E66E-CE18-48D0-AD24-A6375E45E5CD}"/>
    <cellStyle name="Normal 3" xfId="5" xr:uid="{FD4E460B-A99F-4C5F-BCAF-E9849BCAC3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lsalondelpanadero.cl/product/bandeja-perforada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ideastore.cl/beer-cooler-no-frost-96-lts-mbc-960n125sen/p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quipan.c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ideastore.cl/beer-cooler-no-frost-96-lts-mbc-960n125sen/p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ideastore.cl/beer-cooler-no-frost-96-lts-mbc-960n125sen/p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ideastore.cl/beer-cooler-no-frost-96-lts-mbc-960n125sen/p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lvolcan.cl/paelleras/paellera-valenciana-14-porciones-garcima-inoxidable-50cm-70050-300049.html" TargetMode="External"/><Relationship Id="rId1" Type="http://schemas.openxmlformats.org/officeDocument/2006/relationships/hyperlink" Target="https://www.elvolcan.cl/paelleras/paellera-16-porciones-hierro-pulido-la-ideal-garcima-55cm-4482.html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ideastore.cl/beer-cooler-no-frost-96-lts-mbc-960n125sen/p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rcelanosa.cl/poruna-plana-7-oz-dechef?srsltid=AfmBOop1MbWQokUzr5zQq-rL0v7Mr5bX8FFpz1_Vp-11sqCDt1n6Aroz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mahe.cl/Cocina-y-Preparacion/11860-tapa-contenedor-gastronomico-acero-inoxidable-gn-1-1.html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mahe.cl/Mobiliario-Cocina/7594-mantenedor-de-alimentos-11-niveles-gn2-1-volter.html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sitradechile.cl/producto/caja-universal-46-litros-sitrade-chile/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sitradechile.cl/producto/caja-universal-46-litros-sitrade-chile/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hyperlink" Target="https://bozzo.cl/producto/congelador-dual-600-lts-tapa-dura-2/" TargetMode="External"/><Relationship Id="rId1" Type="http://schemas.openxmlformats.org/officeDocument/2006/relationships/hyperlink" Target="https://bozzo.cl/producto/congelador-1-pta-vidrio-turbo-cool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D1D0-1305-4C3A-BE08-224942DC3D86}">
  <sheetPr codeName="Hoja1">
    <tabColor rgb="FF00B0F0"/>
  </sheetPr>
  <dimension ref="B1:K45"/>
  <sheetViews>
    <sheetView zoomScale="85" zoomScaleNormal="85" workbookViewId="0">
      <selection activeCell="C19" sqref="C19"/>
    </sheetView>
  </sheetViews>
  <sheetFormatPr baseColWidth="10" defaultColWidth="12.453125" defaultRowHeight="14.5" x14ac:dyDescent="0.35"/>
  <cols>
    <col min="1" max="1" width="1.81640625" style="1" customWidth="1"/>
    <col min="2" max="2" width="67.54296875" style="1" bestFit="1" customWidth="1"/>
    <col min="3" max="3" width="24.54296875" style="1" bestFit="1" customWidth="1"/>
    <col min="4" max="4" width="13.54296875" style="1" customWidth="1"/>
    <col min="5" max="6" width="17.81640625" style="1" customWidth="1"/>
    <col min="7" max="7" width="19.453125" style="2" customWidth="1"/>
    <col min="8" max="8" width="19.453125" style="1" customWidth="1"/>
    <col min="9" max="9" width="14.453125" style="1" bestFit="1" customWidth="1"/>
    <col min="10" max="10" width="12.453125" style="1"/>
    <col min="11" max="11" width="13" style="1" bestFit="1" customWidth="1"/>
    <col min="12" max="16384" width="12.453125" style="1"/>
  </cols>
  <sheetData>
    <row r="1" spans="2:11" ht="15" thickBot="1" x14ac:dyDescent="0.4"/>
    <row r="2" spans="2:11" ht="15" thickBot="1" x14ac:dyDescent="0.4">
      <c r="B2" s="151"/>
      <c r="C2" s="144"/>
      <c r="E2" s="145"/>
      <c r="F2" s="145"/>
    </row>
    <row r="3" spans="2:11" ht="15" thickBot="1" x14ac:dyDescent="0.4">
      <c r="B3" s="146"/>
      <c r="C3" s="147"/>
      <c r="D3" s="3"/>
      <c r="E3" s="145"/>
      <c r="F3" s="145"/>
      <c r="H3" s="3"/>
    </row>
    <row r="4" spans="2:11" x14ac:dyDescent="0.35">
      <c r="B4" s="4" t="s">
        <v>0</v>
      </c>
      <c r="C4" s="5">
        <f>F44</f>
        <v>213401</v>
      </c>
      <c r="K4" s="4"/>
    </row>
    <row r="5" spans="2:11" ht="15" thickBot="1" x14ac:dyDescent="0.4">
      <c r="B5" s="4" t="s">
        <v>1</v>
      </c>
      <c r="C5" s="6">
        <f>C4*19%</f>
        <v>40546.19</v>
      </c>
      <c r="E5" s="3" t="s">
        <v>2</v>
      </c>
      <c r="K5" s="4"/>
    </row>
    <row r="6" spans="2:11" ht="15" thickTop="1" x14ac:dyDescent="0.35">
      <c r="B6" s="7" t="s">
        <v>3</v>
      </c>
      <c r="C6" s="8">
        <f>SUM(C4:C5)</f>
        <v>253947.19</v>
      </c>
      <c r="K6" s="4"/>
    </row>
    <row r="7" spans="2:11" x14ac:dyDescent="0.35">
      <c r="B7" s="4"/>
      <c r="C7" s="4"/>
      <c r="K7" s="4"/>
    </row>
    <row r="8" spans="2:11" x14ac:dyDescent="0.35">
      <c r="B8" s="4" t="s">
        <v>4</v>
      </c>
      <c r="C8" s="4">
        <f>G44</f>
        <v>213401</v>
      </c>
      <c r="K8" s="4"/>
    </row>
    <row r="9" spans="2:11" ht="15" thickBot="1" x14ac:dyDescent="0.4">
      <c r="B9" s="4" t="s">
        <v>5</v>
      </c>
      <c r="C9" s="6">
        <f>C8*19%</f>
        <v>40546.19</v>
      </c>
      <c r="E9" s="9" t="s">
        <v>6</v>
      </c>
      <c r="F9" s="10"/>
      <c r="G9" s="11"/>
      <c r="H9" s="12"/>
      <c r="I9" s="4"/>
      <c r="J9" s="4"/>
      <c r="K9" s="4"/>
    </row>
    <row r="10" spans="2:11" ht="15" thickTop="1" x14ac:dyDescent="0.35">
      <c r="B10" s="8" t="s">
        <v>7</v>
      </c>
      <c r="C10" s="8">
        <f>C8+C9</f>
        <v>253947.19</v>
      </c>
      <c r="E10" s="12"/>
      <c r="F10" s="12"/>
      <c r="H10" s="13"/>
      <c r="I10" s="4"/>
      <c r="J10" s="4"/>
      <c r="K10" s="4"/>
    </row>
    <row r="11" spans="2:11" x14ac:dyDescent="0.35">
      <c r="B11" s="4"/>
      <c r="C11" s="4"/>
      <c r="E11" s="12"/>
      <c r="I11" s="4"/>
      <c r="J11" s="4"/>
      <c r="K11" s="4"/>
    </row>
    <row r="12" spans="2:11" x14ac:dyDescent="0.35">
      <c r="B12" s="7" t="s">
        <v>8</v>
      </c>
      <c r="C12" s="4">
        <f>C9-C5</f>
        <v>0</v>
      </c>
      <c r="E12" s="13" t="s">
        <v>9</v>
      </c>
      <c r="F12" s="8" t="s">
        <v>10</v>
      </c>
      <c r="G12" s="14" t="s">
        <v>11</v>
      </c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I13" s="4"/>
      <c r="J13" s="4"/>
      <c r="K13" s="4"/>
    </row>
    <row r="14" spans="2:11" x14ac:dyDescent="0.35">
      <c r="B14" s="4" t="s">
        <v>13</v>
      </c>
      <c r="C14" s="4">
        <f>C8-C4</f>
        <v>0</v>
      </c>
      <c r="F14" s="4"/>
      <c r="I14" s="4"/>
      <c r="J14" s="4"/>
      <c r="K14" s="4"/>
    </row>
    <row r="15" spans="2:11" x14ac:dyDescent="0.35">
      <c r="B15" s="15" t="s">
        <v>14</v>
      </c>
      <c r="C15" s="4">
        <v>0</v>
      </c>
      <c r="F15" s="4"/>
      <c r="I15" s="4"/>
      <c r="J15" s="4"/>
      <c r="K15" s="4"/>
    </row>
    <row r="16" spans="2:11" x14ac:dyDescent="0.35">
      <c r="B16" s="15" t="s">
        <v>15</v>
      </c>
      <c r="C16" s="4">
        <v>0</v>
      </c>
      <c r="F16" s="4"/>
      <c r="I16" s="4"/>
      <c r="J16" s="4"/>
      <c r="K16" s="4"/>
    </row>
    <row r="17" spans="2:11" x14ac:dyDescent="0.35">
      <c r="B17" s="4" t="s">
        <v>16</v>
      </c>
      <c r="C17" s="4">
        <f>C10-C6-C12-C15-C16</f>
        <v>0</v>
      </c>
      <c r="F17" s="4"/>
      <c r="I17" s="4"/>
      <c r="J17" s="4"/>
      <c r="K17" s="4"/>
    </row>
    <row r="18" spans="2:11" x14ac:dyDescent="0.35">
      <c r="B18" s="15"/>
      <c r="C18" s="4"/>
      <c r="F18" s="4"/>
      <c r="I18" s="4"/>
      <c r="J18" s="4"/>
      <c r="K18" s="4"/>
    </row>
    <row r="19" spans="2:11" x14ac:dyDescent="0.35">
      <c r="B19" s="4" t="s">
        <v>17</v>
      </c>
      <c r="C19" s="4">
        <f>C14*25%</f>
        <v>0</v>
      </c>
      <c r="D19" s="32"/>
      <c r="E19" s="16"/>
      <c r="F19" s="17"/>
      <c r="I19" s="4"/>
      <c r="J19" s="4"/>
      <c r="K19" s="4"/>
    </row>
    <row r="20" spans="2:11" ht="15" thickBot="1" x14ac:dyDescent="0.4">
      <c r="B20" s="4"/>
      <c r="C20" s="4"/>
      <c r="D20" s="18"/>
      <c r="E20" s="18"/>
      <c r="F20" s="18"/>
      <c r="I20" s="4"/>
      <c r="J20" s="4"/>
    </row>
    <row r="21" spans="2:11" ht="15" thickBot="1" x14ac:dyDescent="0.4">
      <c r="B21" s="19" t="s">
        <v>18</v>
      </c>
      <c r="C21" s="20">
        <f>C17-C19-C18-C20</f>
        <v>0</v>
      </c>
      <c r="I21" s="4"/>
      <c r="J21" s="4"/>
    </row>
    <row r="22" spans="2:11" ht="15" thickBot="1" x14ac:dyDescent="0.4">
      <c r="B22" s="15"/>
      <c r="C22" s="4"/>
      <c r="I22" s="4"/>
      <c r="J22" s="4"/>
    </row>
    <row r="23" spans="2:11" ht="15" thickBot="1" x14ac:dyDescent="0.4">
      <c r="B23" s="19" t="s">
        <v>19</v>
      </c>
      <c r="C23" s="21">
        <f>C14*12.5%</f>
        <v>0</v>
      </c>
      <c r="E23" s="136" t="s">
        <v>20</v>
      </c>
      <c r="F23" s="136" t="s">
        <v>21</v>
      </c>
      <c r="G23" s="11" t="s">
        <v>22</v>
      </c>
    </row>
    <row r="24" spans="2:11" ht="15" thickBot="1" x14ac:dyDescent="0.4">
      <c r="B24" s="22"/>
      <c r="C24" s="16"/>
    </row>
    <row r="25" spans="2:11" ht="15" thickBot="1" x14ac:dyDescent="0.4">
      <c r="B25" s="19" t="s">
        <v>23</v>
      </c>
      <c r="C25" s="21">
        <f>C21-C23</f>
        <v>0</v>
      </c>
      <c r="D25" s="136" t="s">
        <v>24</v>
      </c>
      <c r="E25" s="8">
        <f>C25*100/C8</f>
        <v>0</v>
      </c>
      <c r="F25" s="3" t="s">
        <v>25</v>
      </c>
    </row>
    <row r="27" spans="2:11" ht="15" thickBot="1" x14ac:dyDescent="0.4">
      <c r="B27" s="19" t="s">
        <v>26</v>
      </c>
      <c r="C27" s="21">
        <f>C25*10%</f>
        <v>0</v>
      </c>
      <c r="D27" s="33" t="s">
        <v>27</v>
      </c>
    </row>
    <row r="29" spans="2:11" ht="15" thickBot="1" x14ac:dyDescent="0.4">
      <c r="B29" s="19" t="s">
        <v>28</v>
      </c>
      <c r="C29" s="20">
        <f>C25-C27</f>
        <v>0</v>
      </c>
    </row>
    <row r="30" spans="2:11" ht="15" thickBot="1" x14ac:dyDescent="0.4">
      <c r="B30" s="22"/>
      <c r="C30" s="13"/>
    </row>
    <row r="31" spans="2:11" ht="15" thickBot="1" x14ac:dyDescent="0.4">
      <c r="B31" s="19" t="s">
        <v>29</v>
      </c>
      <c r="C31" s="20">
        <v>0</v>
      </c>
    </row>
    <row r="32" spans="2:11" ht="15" thickBot="1" x14ac:dyDescent="0.4">
      <c r="B32" s="22"/>
      <c r="C32" s="16"/>
    </row>
    <row r="33" spans="2:9" ht="15" thickBot="1" x14ac:dyDescent="0.4">
      <c r="B33" s="19" t="s">
        <v>30</v>
      </c>
      <c r="C33" s="20">
        <v>0</v>
      </c>
    </row>
    <row r="34" spans="2:9" ht="15" thickBot="1" x14ac:dyDescent="0.4">
      <c r="B34" s="23"/>
      <c r="C34" s="13"/>
    </row>
    <row r="35" spans="2:9" ht="15" thickBot="1" x14ac:dyDescent="0.4">
      <c r="B35" s="19" t="s">
        <v>31</v>
      </c>
      <c r="C35" s="20">
        <f>C29-C31-C33</f>
        <v>0</v>
      </c>
      <c r="D35" s="33" t="s">
        <v>27</v>
      </c>
      <c r="E35" s="16"/>
      <c r="F35" s="16"/>
      <c r="H35" s="12"/>
    </row>
    <row r="36" spans="2:9" ht="15" thickBot="1" x14ac:dyDescent="0.4">
      <c r="B36" s="23"/>
      <c r="C36" s="13"/>
    </row>
    <row r="37" spans="2:9" ht="15" thickBot="1" x14ac:dyDescent="0.4">
      <c r="B37" s="152" t="s">
        <v>32</v>
      </c>
      <c r="C37" s="153"/>
      <c r="D37" s="153"/>
      <c r="E37" s="153"/>
      <c r="F37" s="153"/>
      <c r="G37" s="153"/>
      <c r="H37" s="154"/>
    </row>
    <row r="38" spans="2:9" x14ac:dyDescent="0.35">
      <c r="B38" s="24" t="s">
        <v>33</v>
      </c>
      <c r="C38" s="25" t="s">
        <v>34</v>
      </c>
      <c r="D38" s="25" t="s">
        <v>35</v>
      </c>
      <c r="E38" s="26" t="s">
        <v>36</v>
      </c>
      <c r="F38" s="27" t="s">
        <v>37</v>
      </c>
      <c r="G38" s="27" t="s">
        <v>38</v>
      </c>
      <c r="H38" s="27" t="s">
        <v>39</v>
      </c>
    </row>
    <row r="39" spans="2:9" ht="16" customHeight="1" x14ac:dyDescent="0.35">
      <c r="B39" s="42" t="s">
        <v>40</v>
      </c>
      <c r="C39" s="28">
        <v>1</v>
      </c>
      <c r="D39" s="34">
        <v>213401</v>
      </c>
      <c r="E39" s="38">
        <v>213401</v>
      </c>
      <c r="F39" s="29">
        <f>D39*C39</f>
        <v>213401</v>
      </c>
      <c r="G39" s="29">
        <f>E39*C39</f>
        <v>213401</v>
      </c>
      <c r="H39" s="29">
        <f t="shared" ref="H39:H42" si="0">G39-F39</f>
        <v>0</v>
      </c>
      <c r="I39" s="50"/>
    </row>
    <row r="40" spans="2:9" ht="16" customHeight="1" x14ac:dyDescent="0.35">
      <c r="B40" s="47"/>
      <c r="C40" s="28"/>
      <c r="D40" s="34"/>
      <c r="E40" s="38">
        <f>D40/(1-45%)</f>
        <v>0</v>
      </c>
      <c r="F40" s="29">
        <f t="shared" ref="F40:F42" si="1">D40*C40</f>
        <v>0</v>
      </c>
      <c r="G40" s="29">
        <f t="shared" ref="G40:G42" si="2">E40*C40</f>
        <v>0</v>
      </c>
      <c r="H40" s="29">
        <f t="shared" si="0"/>
        <v>0</v>
      </c>
      <c r="I40" s="51"/>
    </row>
    <row r="41" spans="2:9" ht="16" customHeight="1" x14ac:dyDescent="0.35">
      <c r="B41" s="45"/>
      <c r="C41" s="46"/>
      <c r="D41" s="36"/>
      <c r="E41" s="38">
        <f>D41/(1-25%)</f>
        <v>0</v>
      </c>
      <c r="F41" s="29">
        <f t="shared" si="1"/>
        <v>0</v>
      </c>
      <c r="G41" s="29">
        <f t="shared" si="2"/>
        <v>0</v>
      </c>
      <c r="H41" s="29">
        <f t="shared" si="0"/>
        <v>0</v>
      </c>
      <c r="I41" s="51"/>
    </row>
    <row r="42" spans="2:9" ht="16" customHeight="1" x14ac:dyDescent="0.35">
      <c r="B42" s="48"/>
      <c r="C42" s="39"/>
      <c r="D42" s="40"/>
      <c r="E42" s="44"/>
      <c r="F42" s="29">
        <f t="shared" si="1"/>
        <v>0</v>
      </c>
      <c r="G42" s="29">
        <f t="shared" si="2"/>
        <v>0</v>
      </c>
      <c r="H42" s="29">
        <f t="shared" si="0"/>
        <v>0</v>
      </c>
    </row>
    <row r="43" spans="2:9" ht="16" customHeight="1" x14ac:dyDescent="0.35">
      <c r="B43" s="43" t="s">
        <v>12</v>
      </c>
      <c r="C43" s="35"/>
      <c r="D43" s="36"/>
      <c r="E43" s="37"/>
      <c r="F43" s="41"/>
      <c r="G43" s="29"/>
      <c r="H43" s="29"/>
    </row>
    <row r="44" spans="2:9" x14ac:dyDescent="0.35">
      <c r="D44" s="30"/>
      <c r="E44" s="3" t="s">
        <v>41</v>
      </c>
      <c r="F44" s="31">
        <f>SUM(F39:F43)</f>
        <v>213401</v>
      </c>
      <c r="G44" s="31">
        <f>SUM(G39:G43)</f>
        <v>213401</v>
      </c>
      <c r="H44" s="31">
        <f>SUM(H39:H43)</f>
        <v>0</v>
      </c>
    </row>
    <row r="45" spans="2:9" x14ac:dyDescent="0.35">
      <c r="B45" s="12" t="s">
        <v>12</v>
      </c>
    </row>
  </sheetData>
  <mergeCells count="5">
    <mergeCell ref="B2:C2"/>
    <mergeCell ref="E2:F2"/>
    <mergeCell ref="B3:C3"/>
    <mergeCell ref="E3:F3"/>
    <mergeCell ref="B37:H37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D536-0805-4ED0-9C6B-DD52B4DBC27D}">
  <sheetPr codeName="Hoja2">
    <tabColor rgb="FF7030A0"/>
  </sheetPr>
  <dimension ref="B1:N50"/>
  <sheetViews>
    <sheetView topLeftCell="A24" zoomScale="85" zoomScaleNormal="85" workbookViewId="0">
      <selection activeCell="B41" sqref="B41"/>
    </sheetView>
  </sheetViews>
  <sheetFormatPr baseColWidth="10" defaultColWidth="12.453125" defaultRowHeight="14.5" x14ac:dyDescent="0.35"/>
  <cols>
    <col min="1" max="1" width="4" style="1" customWidth="1"/>
    <col min="2" max="2" width="104.54296875" style="1" bestFit="1" customWidth="1"/>
    <col min="3" max="3" width="24.54296875" style="1" bestFit="1" customWidth="1"/>
    <col min="4" max="4" width="13.54296875" style="1" customWidth="1"/>
    <col min="5" max="6" width="17.81640625" style="1" customWidth="1"/>
    <col min="7" max="7" width="19.453125" style="2" customWidth="1"/>
    <col min="8" max="8" width="19.453125" style="1" customWidth="1"/>
    <col min="9" max="9" width="75.54296875" style="76" bestFit="1" customWidth="1"/>
    <col min="10" max="10" width="9.1796875" style="1" bestFit="1" customWidth="1"/>
    <col min="11" max="11" width="13" style="1" bestFit="1" customWidth="1"/>
    <col min="12" max="16384" width="12.453125" style="1"/>
  </cols>
  <sheetData>
    <row r="1" spans="2:11" ht="15" thickBot="1" x14ac:dyDescent="0.4">
      <c r="I1" s="1"/>
    </row>
    <row r="2" spans="2:11" ht="15" thickBot="1" x14ac:dyDescent="0.4">
      <c r="B2" s="143" t="s">
        <v>42</v>
      </c>
      <c r="C2" s="144"/>
      <c r="E2" s="145"/>
      <c r="F2" s="145"/>
      <c r="I2" s="1"/>
    </row>
    <row r="3" spans="2:11" ht="15" thickBot="1" x14ac:dyDescent="0.4">
      <c r="B3" s="146" t="s">
        <v>43</v>
      </c>
      <c r="C3" s="147"/>
      <c r="D3" s="3" t="s">
        <v>44</v>
      </c>
      <c r="E3" s="145"/>
      <c r="F3" s="145"/>
      <c r="H3" s="3"/>
      <c r="I3" s="1"/>
    </row>
    <row r="4" spans="2:11" x14ac:dyDescent="0.35">
      <c r="B4" s="4" t="s">
        <v>0</v>
      </c>
      <c r="C4" s="4">
        <f>F45</f>
        <v>58815.12</v>
      </c>
      <c r="I4" s="1"/>
      <c r="K4" s="4"/>
    </row>
    <row r="5" spans="2:11" ht="15" thickBot="1" x14ac:dyDescent="0.4">
      <c r="B5" s="4" t="s">
        <v>1</v>
      </c>
      <c r="C5" s="6">
        <f>C4*19%</f>
        <v>11174.872800000001</v>
      </c>
      <c r="E5" s="3" t="s">
        <v>2</v>
      </c>
      <c r="I5" s="1"/>
      <c r="K5" s="4"/>
    </row>
    <row r="6" spans="2:11" ht="15" thickTop="1" x14ac:dyDescent="0.35">
      <c r="B6" s="7" t="s">
        <v>3</v>
      </c>
      <c r="C6" s="8">
        <f>SUM(C4:C5)</f>
        <v>69989.992800000007</v>
      </c>
      <c r="I6" s="1"/>
      <c r="K6" s="4"/>
    </row>
    <row r="7" spans="2:11" x14ac:dyDescent="0.35">
      <c r="B7" s="4"/>
      <c r="C7" s="4"/>
      <c r="I7" s="1"/>
      <c r="K7" s="4"/>
    </row>
    <row r="8" spans="2:11" x14ac:dyDescent="0.35">
      <c r="B8" s="4" t="s">
        <v>4</v>
      </c>
      <c r="C8" s="4">
        <f>G45</f>
        <v>92436.97</v>
      </c>
      <c r="I8" s="1"/>
      <c r="K8" s="4"/>
    </row>
    <row r="9" spans="2:11" ht="15" thickBot="1" x14ac:dyDescent="0.4">
      <c r="B9" s="4" t="s">
        <v>5</v>
      </c>
      <c r="C9" s="6">
        <f>C8*19%</f>
        <v>17563.024300000001</v>
      </c>
      <c r="E9" s="9" t="s">
        <v>6</v>
      </c>
      <c r="F9" s="10"/>
      <c r="G9" s="11">
        <f>C10/950</f>
        <v>115.78946768421054</v>
      </c>
      <c r="H9" s="12"/>
      <c r="I9" s="4"/>
      <c r="J9" s="4"/>
      <c r="K9" s="4"/>
    </row>
    <row r="10" spans="2:11" ht="15" thickTop="1" x14ac:dyDescent="0.35">
      <c r="B10" s="8" t="s">
        <v>7</v>
      </c>
      <c r="C10" s="8">
        <f>C8+C9</f>
        <v>109999.99430000001</v>
      </c>
      <c r="E10" s="12"/>
      <c r="F10" s="12"/>
      <c r="H10" s="13"/>
      <c r="I10" s="4"/>
      <c r="J10" s="4"/>
      <c r="K10" s="4"/>
    </row>
    <row r="11" spans="2:11" x14ac:dyDescent="0.35">
      <c r="B11" s="4"/>
      <c r="C11" s="4"/>
      <c r="E11" s="12"/>
      <c r="I11" s="4"/>
      <c r="J11" s="4"/>
      <c r="K11" s="4"/>
    </row>
    <row r="12" spans="2:11" x14ac:dyDescent="0.35">
      <c r="B12" s="7" t="s">
        <v>8</v>
      </c>
      <c r="C12" s="4">
        <f>C9-C5</f>
        <v>6388.1514999999999</v>
      </c>
      <c r="E12" s="13" t="s">
        <v>9</v>
      </c>
      <c r="F12" s="8" t="s">
        <v>10</v>
      </c>
      <c r="G12" s="14" t="s">
        <v>11</v>
      </c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I13" s="4"/>
      <c r="J13" s="4"/>
      <c r="K13" s="4"/>
    </row>
    <row r="14" spans="2:11" x14ac:dyDescent="0.35">
      <c r="B14" s="4" t="s">
        <v>13</v>
      </c>
      <c r="C14" s="4">
        <f>C8-C4</f>
        <v>33621.85</v>
      </c>
      <c r="F14" s="4"/>
      <c r="I14" s="4"/>
      <c r="J14" s="4"/>
      <c r="K14" s="4"/>
    </row>
    <row r="15" spans="2:11" x14ac:dyDescent="0.35">
      <c r="B15" s="4" t="s">
        <v>14</v>
      </c>
      <c r="C15" s="4">
        <v>0</v>
      </c>
      <c r="F15" s="4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F16" s="4"/>
      <c r="I16" s="4"/>
      <c r="J16" s="4"/>
      <c r="K16" s="4"/>
    </row>
    <row r="17" spans="2:14" x14ac:dyDescent="0.35">
      <c r="B17" s="4" t="s">
        <v>16</v>
      </c>
      <c r="C17" s="4">
        <f>C10-C6-C12-C15-C16</f>
        <v>33621.85</v>
      </c>
      <c r="F17" s="4"/>
      <c r="I17" s="4"/>
      <c r="J17" s="4"/>
      <c r="K17" s="4"/>
    </row>
    <row r="18" spans="2:14" x14ac:dyDescent="0.35">
      <c r="B18" s="4"/>
      <c r="C18" s="4"/>
      <c r="F18" s="4"/>
      <c r="I18" s="4"/>
      <c r="J18" s="4"/>
      <c r="K18" s="4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I19" s="4"/>
      <c r="J19" s="4"/>
      <c r="K19" s="4"/>
    </row>
    <row r="20" spans="2:14" ht="15" thickBot="1" x14ac:dyDescent="0.4">
      <c r="B20" s="4"/>
      <c r="C20" s="4"/>
      <c r="D20" s="18"/>
      <c r="E20" s="18"/>
      <c r="F20" s="18"/>
      <c r="I20" s="4"/>
      <c r="J20" s="4"/>
    </row>
    <row r="21" spans="2:14" ht="15" thickBot="1" x14ac:dyDescent="0.4">
      <c r="B21" s="19" t="s">
        <v>18</v>
      </c>
      <c r="C21" s="20">
        <f>C17-C19-C18-C20</f>
        <v>33621.85</v>
      </c>
      <c r="I21" s="4"/>
      <c r="J21" s="4"/>
    </row>
    <row r="22" spans="2:14" ht="15" thickBot="1" x14ac:dyDescent="0.4">
      <c r="B22" s="4"/>
      <c r="C22" s="4"/>
      <c r="I22" s="4"/>
      <c r="J22" s="4"/>
      <c r="K22" s="4"/>
      <c r="L22" s="4"/>
      <c r="M22" s="4"/>
      <c r="N22" s="4"/>
    </row>
    <row r="23" spans="2:14" ht="15" thickBot="1" x14ac:dyDescent="0.4">
      <c r="B23" s="19" t="s">
        <v>19</v>
      </c>
      <c r="C23" s="21">
        <f>C14*12.5%</f>
        <v>4202.7312499999998</v>
      </c>
      <c r="E23" s="136" t="s">
        <v>20</v>
      </c>
      <c r="F23" s="136" t="s">
        <v>21</v>
      </c>
      <c r="G23" s="11" t="s">
        <v>22</v>
      </c>
      <c r="I23" s="1"/>
      <c r="M23" s="4"/>
      <c r="N23" s="4"/>
    </row>
    <row r="24" spans="2:14" ht="15" thickBot="1" x14ac:dyDescent="0.4">
      <c r="B24" s="52"/>
      <c r="C24" s="16"/>
      <c r="I24" s="1"/>
      <c r="K24" s="53"/>
      <c r="L24" s="53"/>
      <c r="M24" s="4"/>
      <c r="N24" s="4"/>
    </row>
    <row r="25" spans="2:14" ht="15" thickBot="1" x14ac:dyDescent="0.4">
      <c r="B25" s="19" t="s">
        <v>23</v>
      </c>
      <c r="C25" s="21">
        <f>C21-C23</f>
        <v>29419.118749999998</v>
      </c>
      <c r="D25" s="136" t="s">
        <v>24</v>
      </c>
      <c r="E25" s="8">
        <f>C25*100/C8</f>
        <v>31.826139205990849</v>
      </c>
      <c r="F25" s="3" t="s">
        <v>25</v>
      </c>
      <c r="I25" s="1"/>
    </row>
    <row r="26" spans="2:14" ht="15" thickBot="1" x14ac:dyDescent="0.4">
      <c r="I26" s="1"/>
    </row>
    <row r="27" spans="2:14" ht="15" thickBot="1" x14ac:dyDescent="0.4">
      <c r="B27" s="19" t="s">
        <v>26</v>
      </c>
      <c r="C27" s="21">
        <f>C25*0%</f>
        <v>0</v>
      </c>
      <c r="D27" s="33" t="s">
        <v>27</v>
      </c>
      <c r="I27" s="1"/>
    </row>
    <row r="28" spans="2:14" ht="15" thickBot="1" x14ac:dyDescent="0.4">
      <c r="I28" s="1"/>
    </row>
    <row r="29" spans="2:14" ht="15" thickBot="1" x14ac:dyDescent="0.4">
      <c r="B29" s="19" t="s">
        <v>28</v>
      </c>
      <c r="C29" s="20">
        <f>C25-C27</f>
        <v>29419.118749999998</v>
      </c>
      <c r="I29" s="1"/>
    </row>
    <row r="30" spans="2:14" ht="15" thickBot="1" x14ac:dyDescent="0.4">
      <c r="B30" s="52"/>
      <c r="C30" s="13"/>
      <c r="I30" s="1"/>
    </row>
    <row r="31" spans="2:14" ht="15" thickBot="1" x14ac:dyDescent="0.4">
      <c r="B31" s="19" t="s">
        <v>29</v>
      </c>
      <c r="C31" s="20">
        <v>0</v>
      </c>
      <c r="I31" s="1"/>
    </row>
    <row r="32" spans="2:14" ht="15" thickBot="1" x14ac:dyDescent="0.4">
      <c r="B32" s="52"/>
      <c r="C32" s="16"/>
      <c r="I32" s="1"/>
    </row>
    <row r="33" spans="2:9" ht="15" thickBot="1" x14ac:dyDescent="0.4">
      <c r="B33" s="19" t="s">
        <v>30</v>
      </c>
      <c r="C33" s="20">
        <f>C29*25/100</f>
        <v>7354.7796875000004</v>
      </c>
      <c r="D33" s="136" t="s">
        <v>46</v>
      </c>
      <c r="E33" s="80">
        <v>46180</v>
      </c>
      <c r="I33" s="1"/>
    </row>
    <row r="34" spans="2:9" ht="15" thickBot="1" x14ac:dyDescent="0.4">
      <c r="B34" s="23"/>
      <c r="C34" s="13"/>
      <c r="I34" s="1"/>
    </row>
    <row r="35" spans="2:9" ht="15" thickBot="1" x14ac:dyDescent="0.4">
      <c r="B35" s="19" t="s">
        <v>31</v>
      </c>
      <c r="C35" s="20">
        <f>C29-C31-C33</f>
        <v>22064.339062499996</v>
      </c>
      <c r="D35" s="33" t="s">
        <v>27</v>
      </c>
      <c r="E35" s="16"/>
      <c r="F35" s="16">
        <f>C35*70%</f>
        <v>15445.037343749997</v>
      </c>
      <c r="G35" s="14">
        <f>C35-F35</f>
        <v>6619.3017187499991</v>
      </c>
      <c r="H35" s="12"/>
      <c r="I35" s="1"/>
    </row>
    <row r="36" spans="2:9" ht="15" thickBot="1" x14ac:dyDescent="0.4">
      <c r="B36" s="23"/>
      <c r="C36" s="13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1"/>
    </row>
    <row r="39" spans="2:9" ht="16" customHeight="1" x14ac:dyDescent="0.35">
      <c r="B39" s="66" t="s">
        <v>47</v>
      </c>
      <c r="C39" s="62">
        <v>1</v>
      </c>
      <c r="D39" s="54">
        <v>58815.12</v>
      </c>
      <c r="E39" s="77">
        <v>92436.97</v>
      </c>
      <c r="F39" s="55">
        <f t="shared" ref="F39:F44" si="0">D39*C39</f>
        <v>58815.12</v>
      </c>
      <c r="G39" s="55">
        <f t="shared" ref="G39:G44" si="1">E39*C39</f>
        <v>92436.97</v>
      </c>
      <c r="H39" s="55">
        <f t="shared" ref="H39:H44" si="2">G39-F39</f>
        <v>33621.85</v>
      </c>
      <c r="I39" s="59"/>
    </row>
    <row r="40" spans="2:9" ht="16" customHeight="1" x14ac:dyDescent="0.35">
      <c r="B40" s="66"/>
      <c r="C40" s="63">
        <v>0</v>
      </c>
      <c r="D40" s="54">
        <v>0</v>
      </c>
      <c r="E40" s="77">
        <f>D40/(1-20%)</f>
        <v>0</v>
      </c>
      <c r="F40" s="55">
        <f t="shared" si="0"/>
        <v>0</v>
      </c>
      <c r="G40" s="55">
        <f t="shared" si="1"/>
        <v>0</v>
      </c>
      <c r="H40" s="55">
        <f t="shared" si="2"/>
        <v>0</v>
      </c>
      <c r="I40" s="59"/>
    </row>
    <row r="41" spans="2:9" ht="16" customHeight="1" x14ac:dyDescent="0.35">
      <c r="B41" s="66"/>
      <c r="C41" s="63"/>
      <c r="D41" s="54"/>
      <c r="E41" s="77">
        <f>D41/(1-18%)</f>
        <v>0</v>
      </c>
      <c r="F41" s="55">
        <f t="shared" si="0"/>
        <v>0</v>
      </c>
      <c r="G41" s="55">
        <f t="shared" si="1"/>
        <v>0</v>
      </c>
      <c r="H41" s="55">
        <f t="shared" si="2"/>
        <v>0</v>
      </c>
      <c r="I41" s="59"/>
    </row>
    <row r="42" spans="2:9" ht="16" customHeight="1" x14ac:dyDescent="0.35">
      <c r="B42" s="66"/>
      <c r="C42" s="60"/>
      <c r="D42" s="54"/>
      <c r="E42" s="77">
        <f>D42/(1-50%)</f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9"/>
    </row>
    <row r="43" spans="2:9" x14ac:dyDescent="0.35">
      <c r="B43" s="58"/>
      <c r="C43" s="61"/>
      <c r="D43" s="54"/>
      <c r="E43" s="77">
        <f>D43/(1-18%)</f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B44" s="58"/>
      <c r="C44" s="61"/>
      <c r="D44" s="54"/>
      <c r="E44" s="77">
        <f>D44/(1-18%)</f>
        <v>0</v>
      </c>
      <c r="F44" s="55">
        <f t="shared" si="0"/>
        <v>0</v>
      </c>
      <c r="G44" s="55">
        <f t="shared" si="1"/>
        <v>0</v>
      </c>
      <c r="H44" s="55">
        <f t="shared" si="2"/>
        <v>0</v>
      </c>
      <c r="I44" s="51"/>
    </row>
    <row r="45" spans="2:9" x14ac:dyDescent="0.35">
      <c r="D45" s="30"/>
      <c r="E45" s="3" t="s">
        <v>41</v>
      </c>
      <c r="F45" s="31">
        <f>SUM(F39:F44)</f>
        <v>58815.12</v>
      </c>
      <c r="G45" s="31">
        <f>SUM(G39:G44)</f>
        <v>92436.97</v>
      </c>
      <c r="H45" s="31">
        <f>SUM(H39:H44)</f>
        <v>33621.85</v>
      </c>
      <c r="I45" s="1"/>
    </row>
    <row r="46" spans="2:9" x14ac:dyDescent="0.35">
      <c r="B46" s="12" t="s">
        <v>12</v>
      </c>
      <c r="I46" s="1"/>
    </row>
    <row r="47" spans="2:9" x14ac:dyDescent="0.35">
      <c r="C47" s="65"/>
      <c r="I47" s="1"/>
    </row>
    <row r="48" spans="2:9" x14ac:dyDescent="0.35">
      <c r="C48" s="65"/>
      <c r="I48" s="1"/>
    </row>
    <row r="49" spans="4:9" x14ac:dyDescent="0.35">
      <c r="D49" s="65"/>
      <c r="I49" s="1"/>
    </row>
    <row r="50" spans="4:9" x14ac:dyDescent="0.35">
      <c r="I50" s="1"/>
    </row>
  </sheetData>
  <mergeCells count="5">
    <mergeCell ref="B2:C2"/>
    <mergeCell ref="E2:F2"/>
    <mergeCell ref="B3:C3"/>
    <mergeCell ref="E3:F3"/>
    <mergeCell ref="B37:H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0B629-E06F-4512-B8DE-D3E77B4F60ED}">
  <sheetPr codeName="Hoja3">
    <tabColor rgb="FF7030A0"/>
  </sheetPr>
  <dimension ref="B1:N50"/>
  <sheetViews>
    <sheetView topLeftCell="B1" zoomScale="70" zoomScaleNormal="70" workbookViewId="0">
      <selection activeCell="H2" sqref="H2:J4"/>
    </sheetView>
  </sheetViews>
  <sheetFormatPr baseColWidth="10" defaultColWidth="12.453125" defaultRowHeight="14.5" x14ac:dyDescent="0.35"/>
  <cols>
    <col min="1" max="1" width="4" style="72" customWidth="1"/>
    <col min="2" max="2" width="104.54296875" style="72" bestFit="1" customWidth="1"/>
    <col min="3" max="3" width="24.54296875" style="72" bestFit="1" customWidth="1"/>
    <col min="4" max="4" width="13.54296875" style="72" customWidth="1"/>
    <col min="5" max="6" width="17.81640625" style="72" customWidth="1"/>
    <col min="7" max="7" width="19.453125" style="73" customWidth="1"/>
    <col min="8" max="8" width="22.81640625" style="72" bestFit="1" customWidth="1"/>
    <col min="9" max="9" width="21.54296875" style="74" customWidth="1"/>
    <col min="10" max="10" width="19.7265625" style="72" customWidth="1"/>
    <col min="11" max="11" width="13" style="72" bestFit="1" customWidth="1"/>
    <col min="12" max="16384" width="12.453125" style="72"/>
  </cols>
  <sheetData>
    <row r="1" spans="2:11" x14ac:dyDescent="0.35">
      <c r="B1" s="1"/>
      <c r="C1" s="1"/>
      <c r="D1" s="1"/>
      <c r="E1" s="1"/>
      <c r="F1" s="1"/>
      <c r="G1" s="2"/>
      <c r="H1" s="1"/>
      <c r="I1" s="1"/>
      <c r="J1" s="1"/>
      <c r="K1" s="1"/>
    </row>
    <row r="2" spans="2:11" x14ac:dyDescent="0.35">
      <c r="B2" s="143" t="s">
        <v>48</v>
      </c>
      <c r="C2" s="144"/>
      <c r="D2" s="1"/>
      <c r="E2" s="145"/>
      <c r="F2" s="145"/>
      <c r="G2" s="2"/>
      <c r="H2" s="155" t="s">
        <v>49</v>
      </c>
      <c r="I2" s="155"/>
      <c r="J2" s="136" t="s">
        <v>50</v>
      </c>
      <c r="K2" s="1"/>
    </row>
    <row r="3" spans="2:11" x14ac:dyDescent="0.35">
      <c r="B3" s="146" t="s">
        <v>51</v>
      </c>
      <c r="C3" s="147"/>
      <c r="D3" s="3" t="s">
        <v>44</v>
      </c>
      <c r="E3" s="145"/>
      <c r="F3" s="145"/>
      <c r="G3" s="2"/>
      <c r="H3" s="1" t="s">
        <v>52</v>
      </c>
      <c r="I3" s="4">
        <v>49990</v>
      </c>
      <c r="J3" s="81" t="s">
        <v>53</v>
      </c>
      <c r="K3" s="1"/>
    </row>
    <row r="4" spans="2:11" x14ac:dyDescent="0.35">
      <c r="B4" s="4" t="s">
        <v>0</v>
      </c>
      <c r="C4" s="4">
        <f>F45+5000</f>
        <v>46932.799999999996</v>
      </c>
      <c r="D4" s="1"/>
      <c r="E4" s="1"/>
      <c r="F4" s="1"/>
      <c r="G4" s="2"/>
      <c r="H4" s="1" t="s">
        <v>54</v>
      </c>
      <c r="I4" s="4">
        <v>5000</v>
      </c>
      <c r="J4" s="81" t="s">
        <v>55</v>
      </c>
      <c r="K4" s="4"/>
    </row>
    <row r="5" spans="2:11" x14ac:dyDescent="0.35">
      <c r="B5" s="4" t="s">
        <v>1</v>
      </c>
      <c r="C5" s="6">
        <f>C4*19%</f>
        <v>8917.232</v>
      </c>
      <c r="D5" s="1"/>
      <c r="E5" s="3" t="s">
        <v>2</v>
      </c>
      <c r="F5" s="1"/>
      <c r="G5" s="2"/>
      <c r="H5" s="1"/>
      <c r="I5" s="1"/>
      <c r="J5" s="1"/>
      <c r="K5" s="4"/>
    </row>
    <row r="6" spans="2:11" x14ac:dyDescent="0.35">
      <c r="B6" s="7" t="s">
        <v>3</v>
      </c>
      <c r="C6" s="8">
        <f>SUM(C4:C5)</f>
        <v>55850.031999999992</v>
      </c>
      <c r="D6" s="1"/>
      <c r="E6" s="1"/>
      <c r="F6" s="1"/>
      <c r="G6" s="2"/>
      <c r="H6" s="1"/>
      <c r="I6" s="1"/>
      <c r="J6" s="1"/>
      <c r="K6" s="4"/>
    </row>
    <row r="7" spans="2:11" x14ac:dyDescent="0.35">
      <c r="B7" s="4"/>
      <c r="C7" s="4"/>
      <c r="D7" s="1"/>
      <c r="E7" s="1"/>
      <c r="F7" s="1"/>
      <c r="G7" s="2"/>
      <c r="H7" s="1"/>
      <c r="I7" s="1"/>
      <c r="J7" s="1"/>
      <c r="K7" s="4"/>
    </row>
    <row r="8" spans="2:11" x14ac:dyDescent="0.35">
      <c r="B8" s="4" t="s">
        <v>4</v>
      </c>
      <c r="C8" s="4">
        <f>G45</f>
        <v>76240</v>
      </c>
      <c r="D8" s="1"/>
      <c r="E8" s="1"/>
      <c r="F8" s="1"/>
      <c r="G8" s="2"/>
      <c r="H8" s="1"/>
      <c r="I8" s="1"/>
      <c r="J8" s="1"/>
      <c r="K8" s="4"/>
    </row>
    <row r="9" spans="2:11" x14ac:dyDescent="0.35">
      <c r="B9" s="4" t="s">
        <v>5</v>
      </c>
      <c r="C9" s="6">
        <f>C8*19%</f>
        <v>14485.6</v>
      </c>
      <c r="D9" s="1"/>
      <c r="E9" s="9" t="s">
        <v>6</v>
      </c>
      <c r="F9" s="10"/>
      <c r="G9" s="11"/>
      <c r="H9" s="12"/>
      <c r="I9" s="4"/>
      <c r="J9" s="4"/>
      <c r="K9" s="4"/>
    </row>
    <row r="10" spans="2:11" x14ac:dyDescent="0.35">
      <c r="B10" s="8" t="s">
        <v>7</v>
      </c>
      <c r="C10" s="8">
        <f>C8+C9</f>
        <v>90725.6</v>
      </c>
      <c r="D10" s="1"/>
      <c r="E10" s="12"/>
      <c r="F10" s="12"/>
      <c r="G10" s="2"/>
      <c r="H10" s="13"/>
      <c r="I10" s="4"/>
      <c r="J10" s="4"/>
      <c r="K10" s="4"/>
    </row>
    <row r="11" spans="2:11" x14ac:dyDescent="0.35">
      <c r="B11" s="4"/>
      <c r="C11" s="4"/>
      <c r="D11" s="1"/>
      <c r="E11" s="12"/>
      <c r="F11" s="1"/>
      <c r="G11" s="2"/>
      <c r="H11" s="1"/>
      <c r="I11" s="4"/>
      <c r="J11" s="4"/>
      <c r="K11" s="4"/>
    </row>
    <row r="12" spans="2:11" x14ac:dyDescent="0.35">
      <c r="B12" s="7" t="s">
        <v>8</v>
      </c>
      <c r="C12" s="4">
        <f>C9-C5</f>
        <v>5568.3680000000004</v>
      </c>
      <c r="D12" s="1"/>
      <c r="E12" s="13" t="s">
        <v>9</v>
      </c>
      <c r="F12" s="8" t="s">
        <v>10</v>
      </c>
      <c r="G12" s="14" t="s">
        <v>11</v>
      </c>
      <c r="H12" s="1"/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G13" s="2"/>
      <c r="H13" s="1"/>
      <c r="I13" s="4"/>
      <c r="J13" s="4"/>
      <c r="K13" s="4"/>
    </row>
    <row r="14" spans="2:11" x14ac:dyDescent="0.35">
      <c r="B14" s="4" t="s">
        <v>13</v>
      </c>
      <c r="C14" s="4">
        <f>C8-C4</f>
        <v>29307.200000000004</v>
      </c>
      <c r="D14" s="1"/>
      <c r="E14" s="1"/>
      <c r="F14" s="4"/>
      <c r="G14" s="2"/>
      <c r="H14" s="1"/>
      <c r="I14" s="4"/>
      <c r="J14" s="4"/>
      <c r="K14" s="4"/>
    </row>
    <row r="15" spans="2:11" x14ac:dyDescent="0.35">
      <c r="B15" s="4" t="s">
        <v>14</v>
      </c>
      <c r="C15" s="4">
        <v>0</v>
      </c>
      <c r="D15" s="1"/>
      <c r="E15" s="1"/>
      <c r="F15" s="4"/>
      <c r="G15" s="2"/>
      <c r="H15" s="1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D16" s="1"/>
      <c r="E16" s="1"/>
      <c r="F16" s="4"/>
      <c r="G16" s="2"/>
      <c r="H16" s="1"/>
      <c r="I16" s="4"/>
      <c r="J16" s="4"/>
      <c r="K16" s="4"/>
    </row>
    <row r="17" spans="2:14" x14ac:dyDescent="0.35">
      <c r="B17" s="4" t="s">
        <v>16</v>
      </c>
      <c r="C17" s="4">
        <f>C10-C6-C12-C15-C16</f>
        <v>29307.200000000012</v>
      </c>
      <c r="D17" s="1"/>
      <c r="E17" s="1"/>
      <c r="F17" s="4"/>
      <c r="G17" s="2"/>
      <c r="H17" s="1"/>
      <c r="I17" s="4"/>
      <c r="J17" s="4"/>
      <c r="K17" s="4"/>
      <c r="L17" s="1"/>
      <c r="M17" s="1"/>
      <c r="N17" s="1"/>
    </row>
    <row r="18" spans="2:14" x14ac:dyDescent="0.35">
      <c r="B18" s="4"/>
      <c r="C18" s="4"/>
      <c r="D18" s="1"/>
      <c r="E18" s="1"/>
      <c r="F18" s="4"/>
      <c r="G18" s="2"/>
      <c r="H18" s="1"/>
      <c r="I18" s="4"/>
      <c r="J18" s="4"/>
      <c r="K18" s="4"/>
      <c r="L18" s="1"/>
      <c r="M18" s="1"/>
      <c r="N18" s="1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G19" s="2"/>
      <c r="H19" s="1"/>
      <c r="I19" s="4"/>
      <c r="J19" s="4"/>
      <c r="K19" s="4"/>
      <c r="L19" s="1"/>
      <c r="M19" s="1"/>
      <c r="N19" s="1"/>
    </row>
    <row r="20" spans="2:14" x14ac:dyDescent="0.35">
      <c r="B20" s="4"/>
      <c r="C20" s="4"/>
      <c r="D20" s="18"/>
      <c r="E20" s="18"/>
      <c r="F20" s="18"/>
      <c r="G20" s="2"/>
      <c r="H20" s="1"/>
      <c r="I20" s="4"/>
      <c r="J20" s="4"/>
      <c r="K20" s="1"/>
      <c r="L20" s="1"/>
      <c r="M20" s="1"/>
      <c r="N20" s="1"/>
    </row>
    <row r="21" spans="2:14" x14ac:dyDescent="0.35">
      <c r="B21" s="19" t="s">
        <v>18</v>
      </c>
      <c r="C21" s="20">
        <f>C17-C19-C18-C20</f>
        <v>29307.200000000012</v>
      </c>
      <c r="D21" s="1"/>
      <c r="E21" s="1"/>
      <c r="F21" s="1"/>
      <c r="G21" s="2"/>
      <c r="H21" s="1"/>
      <c r="I21" s="4"/>
      <c r="J21" s="4"/>
      <c r="K21" s="1"/>
      <c r="L21" s="1"/>
      <c r="M21" s="1"/>
      <c r="N21" s="1"/>
    </row>
    <row r="22" spans="2:14" x14ac:dyDescent="0.35">
      <c r="B22" s="4"/>
      <c r="C22" s="4"/>
      <c r="D22" s="1"/>
      <c r="E22" s="1"/>
      <c r="F22" s="1"/>
      <c r="G22" s="2"/>
      <c r="H22" s="1"/>
      <c r="I22" s="4"/>
      <c r="J22" s="4"/>
      <c r="K22" s="4"/>
      <c r="L22" s="4"/>
      <c r="M22" s="4"/>
      <c r="N22" s="4"/>
    </row>
    <row r="23" spans="2:14" x14ac:dyDescent="0.35">
      <c r="B23" s="19" t="s">
        <v>19</v>
      </c>
      <c r="C23" s="21">
        <f>C14*12.5%</f>
        <v>3663.4000000000005</v>
      </c>
      <c r="D23" s="1"/>
      <c r="E23" s="136" t="s">
        <v>20</v>
      </c>
      <c r="F23" s="136" t="s">
        <v>21</v>
      </c>
      <c r="G23" s="11" t="s">
        <v>22</v>
      </c>
      <c r="H23" s="1"/>
      <c r="I23" s="1"/>
      <c r="J23" s="1"/>
      <c r="K23" s="1"/>
      <c r="L23" s="1"/>
      <c r="M23" s="4"/>
      <c r="N23" s="4"/>
    </row>
    <row r="24" spans="2:14" x14ac:dyDescent="0.35">
      <c r="B24" s="52"/>
      <c r="C24" s="16"/>
      <c r="D24" s="1"/>
      <c r="E24" s="1"/>
      <c r="F24" s="1"/>
      <c r="G24" s="2"/>
      <c r="H24" s="1"/>
      <c r="I24" s="1"/>
      <c r="J24" s="1"/>
      <c r="K24" s="53"/>
      <c r="L24" s="53"/>
      <c r="M24" s="4"/>
      <c r="N24" s="4"/>
    </row>
    <row r="25" spans="2:14" x14ac:dyDescent="0.35">
      <c r="B25" s="19" t="s">
        <v>23</v>
      </c>
      <c r="C25" s="21">
        <f>C21-C23</f>
        <v>25643.80000000001</v>
      </c>
      <c r="D25" s="136" t="s">
        <v>24</v>
      </c>
      <c r="E25" s="8">
        <f>C25*100/C8</f>
        <v>33.6356243441763</v>
      </c>
      <c r="F25" s="3" t="s">
        <v>25</v>
      </c>
      <c r="G25" s="2"/>
      <c r="H25" s="1"/>
      <c r="I25" s="1"/>
      <c r="J25" s="1"/>
      <c r="K25" s="1"/>
      <c r="L25" s="1"/>
      <c r="M25" s="1"/>
      <c r="N25" s="1"/>
    </row>
    <row r="26" spans="2:14" x14ac:dyDescent="0.35">
      <c r="B26" s="1"/>
      <c r="C26" s="1"/>
      <c r="D26" s="1"/>
      <c r="E26" s="1"/>
      <c r="F26" s="1"/>
      <c r="G26" s="2"/>
      <c r="H26" s="1"/>
      <c r="I26" s="1"/>
      <c r="J26" s="1"/>
      <c r="K26" s="1"/>
      <c r="L26" s="1"/>
      <c r="M26" s="1"/>
      <c r="N26" s="1"/>
    </row>
    <row r="27" spans="2:14" x14ac:dyDescent="0.35">
      <c r="B27" s="19" t="s">
        <v>26</v>
      </c>
      <c r="C27" s="21">
        <f>C25*0%</f>
        <v>0</v>
      </c>
      <c r="D27" s="33" t="s">
        <v>27</v>
      </c>
      <c r="E27" s="1"/>
      <c r="F27" s="1"/>
      <c r="G27" s="2"/>
      <c r="H27" s="1"/>
      <c r="I27" s="1"/>
      <c r="J27" s="1"/>
      <c r="K27" s="1"/>
      <c r="L27" s="1"/>
      <c r="M27" s="1"/>
      <c r="N27" s="1"/>
    </row>
    <row r="28" spans="2:14" x14ac:dyDescent="0.35">
      <c r="B28" s="1"/>
      <c r="C28" s="1"/>
      <c r="D28" s="1"/>
      <c r="E28" s="1"/>
      <c r="F28" s="1"/>
      <c r="G28" s="2"/>
      <c r="H28" s="1"/>
      <c r="I28" s="1"/>
      <c r="J28" s="1"/>
      <c r="K28" s="1"/>
      <c r="L28" s="1"/>
      <c r="M28" s="1"/>
      <c r="N28" s="1"/>
    </row>
    <row r="29" spans="2:14" x14ac:dyDescent="0.35">
      <c r="B29" s="19" t="s">
        <v>28</v>
      </c>
      <c r="C29" s="20">
        <f>C25-C27</f>
        <v>25643.80000000001</v>
      </c>
      <c r="D29" s="1"/>
      <c r="E29" s="1"/>
      <c r="F29" s="1"/>
      <c r="G29" s="2"/>
      <c r="H29" s="1"/>
      <c r="I29" s="1"/>
      <c r="J29" s="1"/>
      <c r="K29" s="1"/>
      <c r="L29" s="1"/>
      <c r="M29" s="1"/>
      <c r="N29" s="1"/>
    </row>
    <row r="30" spans="2:14" x14ac:dyDescent="0.35">
      <c r="B30" s="52"/>
      <c r="C30" s="13"/>
      <c r="D30" s="1"/>
      <c r="E30" s="1"/>
      <c r="F30" s="1"/>
      <c r="G30" s="2"/>
      <c r="H30" s="1"/>
      <c r="I30" s="1"/>
      <c r="J30" s="1"/>
      <c r="K30" s="1"/>
      <c r="L30" s="1"/>
      <c r="M30" s="1"/>
      <c r="N30" s="1"/>
    </row>
    <row r="31" spans="2:14" x14ac:dyDescent="0.35">
      <c r="B31" s="19" t="s">
        <v>29</v>
      </c>
      <c r="C31" s="20">
        <v>0</v>
      </c>
      <c r="D31" s="1"/>
      <c r="E31" s="1"/>
      <c r="F31" s="1"/>
      <c r="G31" s="2"/>
      <c r="H31" s="1"/>
      <c r="I31" s="1"/>
      <c r="J31" s="1"/>
      <c r="K31" s="1"/>
      <c r="L31" s="1"/>
      <c r="M31" s="1"/>
      <c r="N31" s="1"/>
    </row>
    <row r="32" spans="2:14" x14ac:dyDescent="0.35">
      <c r="B32" s="52"/>
      <c r="C32" s="16"/>
      <c r="D32" s="1"/>
      <c r="E32" s="1"/>
      <c r="F32" s="1"/>
      <c r="G32" s="2"/>
      <c r="H32" s="1"/>
      <c r="I32" s="1"/>
      <c r="J32" s="1"/>
      <c r="K32" s="1"/>
      <c r="L32" s="1"/>
      <c r="M32" s="1"/>
      <c r="N32" s="1"/>
    </row>
    <row r="33" spans="2:9" x14ac:dyDescent="0.35">
      <c r="B33" s="19" t="s">
        <v>30</v>
      </c>
      <c r="C33" s="20">
        <f>C29*0/100</f>
        <v>0</v>
      </c>
      <c r="D33" s="1"/>
      <c r="E33" s="1"/>
      <c r="F33" s="1"/>
      <c r="G33" s="2"/>
      <c r="H33" s="1"/>
      <c r="I33" s="1"/>
    </row>
    <row r="34" spans="2:9" x14ac:dyDescent="0.35">
      <c r="B34" s="23"/>
      <c r="C34" s="13"/>
      <c r="D34" s="1"/>
      <c r="E34" s="1"/>
      <c r="F34" s="1"/>
      <c r="G34" s="2"/>
      <c r="H34" s="1"/>
      <c r="I34" s="1"/>
    </row>
    <row r="35" spans="2:9" x14ac:dyDescent="0.35">
      <c r="B35" s="19" t="s">
        <v>31</v>
      </c>
      <c r="C35" s="20">
        <f>C29-C31-C33</f>
        <v>25643.80000000001</v>
      </c>
      <c r="D35" s="33" t="s">
        <v>27</v>
      </c>
      <c r="E35" s="16"/>
      <c r="F35" s="16"/>
      <c r="G35" s="2"/>
      <c r="H35" s="12"/>
      <c r="I35" s="1"/>
    </row>
    <row r="36" spans="2:9" x14ac:dyDescent="0.35">
      <c r="B36" s="23"/>
      <c r="C36" s="13"/>
      <c r="D36" s="1"/>
      <c r="E36" s="1"/>
      <c r="F36" s="1"/>
      <c r="G36" s="2"/>
      <c r="H36" s="1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1"/>
    </row>
    <row r="39" spans="2:9" ht="16" customHeight="1" x14ac:dyDescent="0.35">
      <c r="B39" s="66" t="s">
        <v>56</v>
      </c>
      <c r="C39" s="62">
        <v>10</v>
      </c>
      <c r="D39" s="54">
        <v>4193.28</v>
      </c>
      <c r="E39" s="77">
        <v>7624</v>
      </c>
      <c r="F39" s="55">
        <f t="shared" ref="F39:F44" si="0">D39*C39</f>
        <v>41932.799999999996</v>
      </c>
      <c r="G39" s="55">
        <f t="shared" ref="G39:G44" si="1">E39*C39</f>
        <v>76240</v>
      </c>
      <c r="H39" s="55">
        <f t="shared" ref="H39:H44" si="2">G39-F39</f>
        <v>34307.200000000004</v>
      </c>
      <c r="I39" s="59"/>
    </row>
    <row r="40" spans="2:9" ht="16" customHeight="1" x14ac:dyDescent="0.35">
      <c r="B40" s="66"/>
      <c r="C40" s="63"/>
      <c r="D40" s="54"/>
      <c r="E40" s="77">
        <f t="shared" ref="E40" si="3">D40/(1-18%)</f>
        <v>0</v>
      </c>
      <c r="F40" s="55">
        <f t="shared" si="0"/>
        <v>0</v>
      </c>
      <c r="G40" s="55">
        <f t="shared" si="1"/>
        <v>0</v>
      </c>
      <c r="H40" s="55">
        <f t="shared" si="2"/>
        <v>0</v>
      </c>
      <c r="I40" s="59"/>
    </row>
    <row r="41" spans="2:9" ht="16" customHeight="1" x14ac:dyDescent="0.35">
      <c r="B41" s="66"/>
      <c r="C41" s="63"/>
      <c r="D41" s="54"/>
      <c r="E41" s="77">
        <f>D41/(1-18%)</f>
        <v>0</v>
      </c>
      <c r="F41" s="55">
        <f t="shared" si="0"/>
        <v>0</v>
      </c>
      <c r="G41" s="55">
        <f t="shared" si="1"/>
        <v>0</v>
      </c>
      <c r="H41" s="55">
        <f t="shared" si="2"/>
        <v>0</v>
      </c>
      <c r="I41" s="59"/>
    </row>
    <row r="42" spans="2:9" ht="16" customHeight="1" x14ac:dyDescent="0.35">
      <c r="B42" s="66"/>
      <c r="C42" s="60"/>
      <c r="D42" s="54"/>
      <c r="E42" s="77">
        <f>D42/(1-50%)</f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9"/>
    </row>
    <row r="43" spans="2:9" x14ac:dyDescent="0.35">
      <c r="B43" s="58"/>
      <c r="C43" s="61"/>
      <c r="D43" s="54"/>
      <c r="E43" s="77">
        <f>D43/(1-18%)</f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B44" s="58"/>
      <c r="C44" s="61"/>
      <c r="D44" s="54"/>
      <c r="E44" s="77">
        <f>D44/(1-18%)</f>
        <v>0</v>
      </c>
      <c r="F44" s="55">
        <f t="shared" si="0"/>
        <v>0</v>
      </c>
      <c r="G44" s="55">
        <f t="shared" si="1"/>
        <v>0</v>
      </c>
      <c r="H44" s="55">
        <f t="shared" si="2"/>
        <v>0</v>
      </c>
      <c r="I44" s="51"/>
    </row>
    <row r="45" spans="2:9" x14ac:dyDescent="0.35">
      <c r="B45" s="1"/>
      <c r="C45" s="1"/>
      <c r="D45" s="30"/>
      <c r="E45" s="3" t="s">
        <v>41</v>
      </c>
      <c r="F45" s="31">
        <f>SUM(F39:F44)</f>
        <v>41932.799999999996</v>
      </c>
      <c r="G45" s="31">
        <f>SUM(G39:G44)</f>
        <v>76240</v>
      </c>
      <c r="H45" s="31">
        <f>SUM(H39:H44)</f>
        <v>34307.200000000004</v>
      </c>
      <c r="I45" s="1"/>
    </row>
    <row r="46" spans="2:9" x14ac:dyDescent="0.35">
      <c r="B46" s="12" t="s">
        <v>12</v>
      </c>
      <c r="C46" s="1"/>
      <c r="D46" s="1"/>
      <c r="E46" s="1"/>
      <c r="F46" s="1"/>
      <c r="G46" s="2"/>
      <c r="H46" s="1"/>
      <c r="I46" s="1"/>
    </row>
    <row r="47" spans="2:9" x14ac:dyDescent="0.35">
      <c r="B47" s="1"/>
      <c r="C47" s="65"/>
      <c r="D47" s="1"/>
      <c r="E47" s="1"/>
      <c r="F47" s="1"/>
      <c r="G47" s="2"/>
      <c r="H47" s="1"/>
      <c r="I47" s="1"/>
    </row>
    <row r="48" spans="2:9" x14ac:dyDescent="0.35">
      <c r="B48" s="1"/>
      <c r="C48" s="65"/>
      <c r="D48" s="1"/>
      <c r="E48" s="1"/>
      <c r="F48" s="1"/>
      <c r="G48" s="2"/>
      <c r="H48" s="1"/>
      <c r="I48" s="1"/>
    </row>
    <row r="49" spans="4:9" x14ac:dyDescent="0.35">
      <c r="D49" s="65"/>
      <c r="E49" s="1"/>
      <c r="F49" s="1"/>
      <c r="G49" s="2"/>
      <c r="H49" s="1"/>
      <c r="I49" s="1"/>
    </row>
    <row r="50" spans="4:9" x14ac:dyDescent="0.35">
      <c r="D50" s="1"/>
      <c r="E50" s="1"/>
      <c r="F50" s="1"/>
      <c r="G50" s="2"/>
      <c r="H50" s="1"/>
      <c r="I50" s="1"/>
    </row>
  </sheetData>
  <mergeCells count="6">
    <mergeCell ref="B2:C2"/>
    <mergeCell ref="E2:F2"/>
    <mergeCell ref="B3:C3"/>
    <mergeCell ref="E3:F3"/>
    <mergeCell ref="B37:H37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47F79-1758-4F4E-948C-06E08A8B7C28}">
  <sheetPr codeName="Hoja4"/>
  <dimension ref="B1:N51"/>
  <sheetViews>
    <sheetView zoomScale="85" zoomScaleNormal="85" workbookViewId="0">
      <selection activeCell="A23" sqref="A23"/>
    </sheetView>
  </sheetViews>
  <sheetFormatPr baseColWidth="10" defaultColWidth="12.453125" defaultRowHeight="14.5" x14ac:dyDescent="0.35"/>
  <cols>
    <col min="1" max="1" width="4" style="1" customWidth="1"/>
    <col min="2" max="2" width="104.54296875" style="1" bestFit="1" customWidth="1"/>
    <col min="3" max="3" width="24.54296875" style="1" bestFit="1" customWidth="1"/>
    <col min="4" max="4" width="13.54296875" style="1" customWidth="1"/>
    <col min="5" max="6" width="17.81640625" style="1" customWidth="1"/>
    <col min="7" max="7" width="19.453125" style="2" customWidth="1"/>
    <col min="8" max="8" width="26.81640625" style="1" bestFit="1" customWidth="1"/>
    <col min="9" max="9" width="12.7265625" style="76" customWidth="1"/>
    <col min="10" max="10" width="27.7265625" style="1" bestFit="1" customWidth="1"/>
    <col min="11" max="11" width="13" style="1" bestFit="1" customWidth="1"/>
    <col min="12" max="16384" width="12.453125" style="1"/>
  </cols>
  <sheetData>
    <row r="1" spans="2:11" x14ac:dyDescent="0.35">
      <c r="I1" s="1"/>
    </row>
    <row r="2" spans="2:11" x14ac:dyDescent="0.35">
      <c r="B2" s="143" t="s">
        <v>57</v>
      </c>
      <c r="C2" s="144"/>
      <c r="E2" s="145"/>
      <c r="F2" s="145"/>
      <c r="I2" s="1"/>
    </row>
    <row r="3" spans="2:11" x14ac:dyDescent="0.35">
      <c r="B3" s="146"/>
      <c r="C3" s="147"/>
      <c r="D3" s="3"/>
      <c r="E3" s="145"/>
      <c r="F3" s="145"/>
      <c r="H3" s="156" t="s">
        <v>49</v>
      </c>
      <c r="I3" s="156"/>
      <c r="J3" s="156"/>
    </row>
    <row r="4" spans="2:11" x14ac:dyDescent="0.35">
      <c r="B4" s="4" t="s">
        <v>0</v>
      </c>
      <c r="C4" s="4">
        <f>F46+20800+28257.98</f>
        <v>1269057.98</v>
      </c>
      <c r="H4" s="136" t="s">
        <v>58</v>
      </c>
      <c r="I4" s="136" t="s">
        <v>59</v>
      </c>
      <c r="J4" s="136" t="s">
        <v>50</v>
      </c>
      <c r="K4" s="4"/>
    </row>
    <row r="5" spans="2:11" x14ac:dyDescent="0.35">
      <c r="B5" s="4" t="s">
        <v>1</v>
      </c>
      <c r="C5" s="6">
        <f>C4*19%</f>
        <v>241121.01620000001</v>
      </c>
      <c r="E5" s="3" t="s">
        <v>2</v>
      </c>
      <c r="H5" s="1" t="s">
        <v>60</v>
      </c>
      <c r="I5" s="85">
        <v>23800</v>
      </c>
      <c r="J5" s="82" t="s">
        <v>61</v>
      </c>
      <c r="K5" s="4"/>
    </row>
    <row r="6" spans="2:11" x14ac:dyDescent="0.35">
      <c r="B6" s="7" t="s">
        <v>3</v>
      </c>
      <c r="C6" s="8">
        <f>SUM(C4:C5)</f>
        <v>1510178.9961999999</v>
      </c>
      <c r="H6" s="1" t="s">
        <v>62</v>
      </c>
      <c r="I6" s="85">
        <v>33627</v>
      </c>
      <c r="J6" s="82" t="s">
        <v>63</v>
      </c>
      <c r="K6" s="4"/>
    </row>
    <row r="7" spans="2:11" x14ac:dyDescent="0.35">
      <c r="B7" s="4"/>
      <c r="C7" s="4"/>
      <c r="H7" s="1" t="s">
        <v>64</v>
      </c>
      <c r="I7" s="2">
        <v>25000</v>
      </c>
      <c r="J7" s="82" t="s">
        <v>65</v>
      </c>
      <c r="K7" s="4"/>
    </row>
    <row r="8" spans="2:11" x14ac:dyDescent="0.35">
      <c r="B8" s="4" t="s">
        <v>4</v>
      </c>
      <c r="C8" s="4">
        <f>G46</f>
        <v>1657888.4210526315</v>
      </c>
      <c r="H8" s="1" t="s">
        <v>66</v>
      </c>
      <c r="I8" s="2">
        <v>25000</v>
      </c>
      <c r="J8" s="82" t="s">
        <v>67</v>
      </c>
      <c r="K8" s="4"/>
    </row>
    <row r="9" spans="2:11" x14ac:dyDescent="0.35">
      <c r="B9" s="4" t="s">
        <v>5</v>
      </c>
      <c r="C9" s="6">
        <f>C8*19%</f>
        <v>314998.8</v>
      </c>
      <c r="E9" s="9" t="s">
        <v>6</v>
      </c>
      <c r="F9" s="10"/>
      <c r="G9" s="11"/>
      <c r="H9" s="12" t="s">
        <v>68</v>
      </c>
      <c r="I9" s="85">
        <v>19200</v>
      </c>
      <c r="J9" s="83" t="s">
        <v>69</v>
      </c>
      <c r="K9" s="4"/>
    </row>
    <row r="10" spans="2:11" x14ac:dyDescent="0.35">
      <c r="B10" s="8" t="s">
        <v>7</v>
      </c>
      <c r="C10" s="8">
        <f>C8+C9</f>
        <v>1972887.2210526315</v>
      </c>
      <c r="E10" s="12"/>
      <c r="F10" s="12"/>
      <c r="H10" s="12" t="s">
        <v>70</v>
      </c>
      <c r="I10" s="85">
        <v>14500</v>
      </c>
      <c r="J10" s="82" t="s">
        <v>67</v>
      </c>
      <c r="K10" s="4"/>
    </row>
    <row r="11" spans="2:11" x14ac:dyDescent="0.35">
      <c r="B11" s="4"/>
      <c r="C11" s="4"/>
      <c r="E11" s="12"/>
      <c r="H11" s="12" t="s">
        <v>70</v>
      </c>
      <c r="I11" s="85">
        <v>14541800</v>
      </c>
      <c r="J11" s="82" t="s">
        <v>71</v>
      </c>
      <c r="K11" s="4"/>
    </row>
    <row r="12" spans="2:11" x14ac:dyDescent="0.35">
      <c r="B12" s="7" t="s">
        <v>8</v>
      </c>
      <c r="C12" s="4">
        <f>C9-C5</f>
        <v>73877.783799999976</v>
      </c>
      <c r="E12" s="13" t="s">
        <v>9</v>
      </c>
      <c r="F12" s="8" t="s">
        <v>10</v>
      </c>
      <c r="G12" s="14" t="s">
        <v>11</v>
      </c>
      <c r="H12" s="1" t="s">
        <v>72</v>
      </c>
      <c r="I12" s="85">
        <v>3475</v>
      </c>
      <c r="J12" s="83" t="s">
        <v>73</v>
      </c>
      <c r="K12" s="4"/>
    </row>
    <row r="13" spans="2:11" x14ac:dyDescent="0.35">
      <c r="B13" s="4"/>
      <c r="C13" s="4"/>
      <c r="D13" s="1" t="s">
        <v>12</v>
      </c>
      <c r="E13" s="12"/>
      <c r="F13" s="4"/>
      <c r="I13" s="85"/>
      <c r="J13" s="4"/>
      <c r="K13" s="4"/>
    </row>
    <row r="14" spans="2:11" x14ac:dyDescent="0.35">
      <c r="B14" s="4" t="s">
        <v>13</v>
      </c>
      <c r="C14" s="4">
        <f>C8-C4</f>
        <v>388830.44105263148</v>
      </c>
      <c r="F14" s="4"/>
      <c r="I14" s="85"/>
      <c r="J14" s="4"/>
      <c r="K14" s="4"/>
    </row>
    <row r="15" spans="2:11" x14ac:dyDescent="0.35">
      <c r="B15" s="4" t="s">
        <v>14</v>
      </c>
      <c r="C15" s="4">
        <v>0</v>
      </c>
      <c r="F15" s="4"/>
      <c r="I15" s="85"/>
      <c r="J15" s="4"/>
      <c r="K15" s="4"/>
    </row>
    <row r="16" spans="2:11" x14ac:dyDescent="0.35">
      <c r="B16" s="4" t="s">
        <v>74</v>
      </c>
      <c r="C16" s="49">
        <v>83700</v>
      </c>
      <c r="F16" s="4"/>
      <c r="H16" s="1" t="s">
        <v>75</v>
      </c>
      <c r="I16" s="85">
        <v>700000</v>
      </c>
      <c r="J16" s="83" t="s">
        <v>76</v>
      </c>
      <c r="K16" s="4"/>
    </row>
    <row r="17" spans="2:14" x14ac:dyDescent="0.35">
      <c r="B17" s="4" t="s">
        <v>16</v>
      </c>
      <c r="C17" s="4">
        <f>C10-C6-C12-C15-C16</f>
        <v>305130.44105263159</v>
      </c>
      <c r="F17" s="4"/>
      <c r="I17" s="85"/>
      <c r="J17" s="4"/>
      <c r="K17" s="4"/>
    </row>
    <row r="18" spans="2:14" x14ac:dyDescent="0.35">
      <c r="B18" s="4"/>
      <c r="C18" s="4"/>
      <c r="F18" s="4"/>
      <c r="I18" s="85"/>
      <c r="J18" s="4"/>
      <c r="K18" s="4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I19" s="85"/>
      <c r="J19" s="4"/>
      <c r="K19" s="4"/>
    </row>
    <row r="20" spans="2:14" x14ac:dyDescent="0.35">
      <c r="B20" s="4"/>
      <c r="C20" s="4"/>
      <c r="D20" s="18"/>
      <c r="E20" s="18"/>
      <c r="F20" s="18"/>
      <c r="I20" s="4"/>
      <c r="J20" s="4"/>
    </row>
    <row r="21" spans="2:14" x14ac:dyDescent="0.35">
      <c r="B21" s="19" t="s">
        <v>18</v>
      </c>
      <c r="C21" s="20">
        <f>C17-C19-C18-C20</f>
        <v>305130.44105263159</v>
      </c>
      <c r="I21" s="4"/>
      <c r="J21" s="4"/>
    </row>
    <row r="22" spans="2:14" x14ac:dyDescent="0.35">
      <c r="B22" s="4"/>
      <c r="C22" s="4"/>
      <c r="I22" s="4"/>
      <c r="J22" s="4"/>
      <c r="K22" s="4"/>
      <c r="L22" s="4"/>
      <c r="M22" s="4"/>
      <c r="N22" s="4"/>
    </row>
    <row r="23" spans="2:14" x14ac:dyDescent="0.35">
      <c r="B23" s="19" t="s">
        <v>19</v>
      </c>
      <c r="C23" s="21">
        <f>C14*12.5%</f>
        <v>48603.805131578934</v>
      </c>
      <c r="E23" s="136" t="s">
        <v>20</v>
      </c>
      <c r="F23" s="136" t="s">
        <v>21</v>
      </c>
      <c r="G23" s="11" t="s">
        <v>22</v>
      </c>
      <c r="I23" s="1"/>
      <c r="M23" s="4"/>
      <c r="N23" s="4"/>
    </row>
    <row r="24" spans="2:14" x14ac:dyDescent="0.35">
      <c r="B24" s="52"/>
      <c r="C24" s="16"/>
      <c r="I24" s="1"/>
      <c r="K24" s="53"/>
      <c r="L24" s="53"/>
      <c r="M24" s="4"/>
      <c r="N24" s="4"/>
    </row>
    <row r="25" spans="2:14" x14ac:dyDescent="0.35">
      <c r="B25" s="19" t="s">
        <v>23</v>
      </c>
      <c r="C25" s="21">
        <f>C21-C23</f>
        <v>256526.63592105266</v>
      </c>
      <c r="D25" s="136" t="s">
        <v>24</v>
      </c>
      <c r="E25" s="8">
        <f>C25*100/C8</f>
        <v>15.473094127660172</v>
      </c>
      <c r="F25" s="3" t="s">
        <v>25</v>
      </c>
      <c r="I25" s="1"/>
    </row>
    <row r="26" spans="2:14" x14ac:dyDescent="0.35">
      <c r="I26" s="1"/>
    </row>
    <row r="27" spans="2:14" x14ac:dyDescent="0.35">
      <c r="B27" s="19" t="s">
        <v>26</v>
      </c>
      <c r="C27" s="21">
        <f>C25*0%</f>
        <v>0</v>
      </c>
      <c r="D27" s="33" t="s">
        <v>27</v>
      </c>
      <c r="I27" s="1"/>
    </row>
    <row r="28" spans="2:14" x14ac:dyDescent="0.35">
      <c r="I28" s="1"/>
    </row>
    <row r="29" spans="2:14" x14ac:dyDescent="0.35">
      <c r="B29" s="19" t="s">
        <v>28</v>
      </c>
      <c r="C29" s="20">
        <f>C25-C27</f>
        <v>256526.63592105266</v>
      </c>
      <c r="I29" s="1"/>
    </row>
    <row r="30" spans="2:14" x14ac:dyDescent="0.35">
      <c r="B30" s="52"/>
      <c r="C30" s="13"/>
      <c r="I30" s="1"/>
    </row>
    <row r="31" spans="2:14" x14ac:dyDescent="0.35">
      <c r="B31" s="19" t="s">
        <v>29</v>
      </c>
      <c r="C31" s="20">
        <v>0</v>
      </c>
      <c r="I31" s="1"/>
    </row>
    <row r="32" spans="2:14" x14ac:dyDescent="0.35">
      <c r="B32" s="52"/>
      <c r="C32" s="16"/>
      <c r="I32" s="1"/>
    </row>
    <row r="33" spans="2:9" x14ac:dyDescent="0.35">
      <c r="B33" s="19" t="s">
        <v>30</v>
      </c>
      <c r="C33" s="20">
        <f>C29*0/100</f>
        <v>0</v>
      </c>
      <c r="I33" s="1"/>
    </row>
    <row r="34" spans="2:9" x14ac:dyDescent="0.35">
      <c r="B34" s="23"/>
      <c r="C34" s="13"/>
      <c r="I34" s="1"/>
    </row>
    <row r="35" spans="2:9" x14ac:dyDescent="0.35">
      <c r="B35" s="19" t="s">
        <v>31</v>
      </c>
      <c r="C35" s="20">
        <f>C29-C31-C33</f>
        <v>256526.63592105266</v>
      </c>
      <c r="D35" s="33" t="s">
        <v>27</v>
      </c>
      <c r="E35" s="16"/>
      <c r="F35" s="16"/>
      <c r="H35" s="12"/>
      <c r="I35" s="1"/>
    </row>
    <row r="36" spans="2:9" x14ac:dyDescent="0.35">
      <c r="B36" s="23"/>
      <c r="C36" s="13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51" t="s">
        <v>77</v>
      </c>
    </row>
    <row r="39" spans="2:9" ht="16" customHeight="1" x14ac:dyDescent="0.35">
      <c r="B39" s="67" t="s">
        <v>78</v>
      </c>
      <c r="C39" s="68">
        <v>40</v>
      </c>
      <c r="D39" s="69">
        <v>22000</v>
      </c>
      <c r="E39" s="70">
        <v>30263</v>
      </c>
      <c r="F39" s="71">
        <f t="shared" ref="F39:F45" si="0">D39*C39</f>
        <v>880000</v>
      </c>
      <c r="G39" s="71">
        <f t="shared" ref="G39:G45" si="1">E39*C39</f>
        <v>1210520</v>
      </c>
      <c r="H39" s="71">
        <f t="shared" ref="H39:H45" si="2">G39-F39</f>
        <v>330520</v>
      </c>
      <c r="I39" s="51" t="s">
        <v>79</v>
      </c>
    </row>
    <row r="40" spans="2:9" ht="16" customHeight="1" x14ac:dyDescent="0.35">
      <c r="B40" s="67" t="s">
        <v>80</v>
      </c>
      <c r="C40" s="62">
        <v>20</v>
      </c>
      <c r="D40" s="69">
        <v>17000</v>
      </c>
      <c r="E40" s="70">
        <f>D40/(1-24%)</f>
        <v>22368.42105263158</v>
      </c>
      <c r="F40" s="55">
        <f t="shared" si="0"/>
        <v>340000</v>
      </c>
      <c r="G40" s="55">
        <f t="shared" si="1"/>
        <v>447368.42105263157</v>
      </c>
      <c r="H40" s="55">
        <f t="shared" si="2"/>
        <v>107368.42105263157</v>
      </c>
      <c r="I40" s="59"/>
    </row>
    <row r="41" spans="2:9" ht="16" customHeight="1" x14ac:dyDescent="0.35">
      <c r="B41" s="66"/>
      <c r="C41" s="63"/>
      <c r="D41" s="54">
        <v>0</v>
      </c>
      <c r="E41" s="70">
        <f>D41/(1-30%)</f>
        <v>0</v>
      </c>
      <c r="F41" s="55">
        <f t="shared" si="0"/>
        <v>0</v>
      </c>
      <c r="G41" s="55">
        <f t="shared" si="1"/>
        <v>0</v>
      </c>
      <c r="H41" s="55">
        <f t="shared" si="2"/>
        <v>0</v>
      </c>
      <c r="I41" s="59"/>
    </row>
    <row r="42" spans="2:9" ht="16" customHeight="1" x14ac:dyDescent="0.35">
      <c r="B42" s="66"/>
      <c r="C42" s="63"/>
      <c r="D42" s="54"/>
      <c r="E42" s="70">
        <f t="shared" ref="E42:E45" si="3">D42/(1-25%)</f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9"/>
    </row>
    <row r="43" spans="2:9" x14ac:dyDescent="0.35">
      <c r="B43" s="66"/>
      <c r="C43" s="60"/>
      <c r="D43" s="54"/>
      <c r="E43" s="70">
        <f t="shared" si="3"/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B44" s="58"/>
      <c r="C44" s="61"/>
      <c r="D44" s="54"/>
      <c r="E44" s="70">
        <f t="shared" si="3"/>
        <v>0</v>
      </c>
      <c r="F44" s="55">
        <f t="shared" si="0"/>
        <v>0</v>
      </c>
      <c r="G44" s="55">
        <f t="shared" si="1"/>
        <v>0</v>
      </c>
      <c r="H44" s="55">
        <f t="shared" si="2"/>
        <v>0</v>
      </c>
      <c r="I44" s="51"/>
    </row>
    <row r="45" spans="2:9" x14ac:dyDescent="0.35">
      <c r="B45" s="58"/>
      <c r="C45" s="61"/>
      <c r="D45" s="54"/>
      <c r="E45" s="70">
        <f t="shared" si="3"/>
        <v>0</v>
      </c>
      <c r="F45" s="55">
        <f t="shared" si="0"/>
        <v>0</v>
      </c>
      <c r="G45" s="55">
        <f t="shared" si="1"/>
        <v>0</v>
      </c>
      <c r="H45" s="55">
        <f t="shared" si="2"/>
        <v>0</v>
      </c>
      <c r="I45" s="51"/>
    </row>
    <row r="46" spans="2:9" x14ac:dyDescent="0.35">
      <c r="D46" s="30"/>
      <c r="E46" s="3" t="s">
        <v>41</v>
      </c>
      <c r="F46" s="31">
        <f>SUM(F39:F45)</f>
        <v>1220000</v>
      </c>
      <c r="G46" s="31">
        <f t="shared" ref="G46:H46" si="4">SUM(G39:G45)</f>
        <v>1657888.4210526315</v>
      </c>
      <c r="H46" s="31">
        <f t="shared" si="4"/>
        <v>437888.42105263157</v>
      </c>
      <c r="I46" s="1"/>
    </row>
    <row r="47" spans="2:9" x14ac:dyDescent="0.35">
      <c r="B47" s="12" t="s">
        <v>12</v>
      </c>
      <c r="I47" s="1"/>
    </row>
    <row r="48" spans="2:9" x14ac:dyDescent="0.35">
      <c r="C48" s="65"/>
      <c r="I48" s="1"/>
    </row>
    <row r="49" spans="2:9" x14ac:dyDescent="0.35">
      <c r="B49" s="1" t="s">
        <v>81</v>
      </c>
      <c r="C49" s="65"/>
      <c r="I49" s="1"/>
    </row>
    <row r="50" spans="2:9" x14ac:dyDescent="0.35">
      <c r="D50" s="65"/>
      <c r="I50" s="1"/>
    </row>
    <row r="51" spans="2:9" x14ac:dyDescent="0.35">
      <c r="I51" s="1"/>
    </row>
  </sheetData>
  <mergeCells count="6">
    <mergeCell ref="B2:C2"/>
    <mergeCell ref="E2:F2"/>
    <mergeCell ref="B3:C3"/>
    <mergeCell ref="E3:F3"/>
    <mergeCell ref="B37:H37"/>
    <mergeCell ref="H3:J3"/>
  </mergeCells>
  <hyperlinks>
    <hyperlink ref="I38" r:id="rId1" xr:uid="{65719C62-8412-4294-9250-7F992E74028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92409-3829-4309-A1B4-C648DDD24F6B}">
  <sheetPr codeName="Hoja5"/>
  <dimension ref="B1:N50"/>
  <sheetViews>
    <sheetView zoomScale="85" zoomScaleNormal="85" workbookViewId="0">
      <selection activeCell="H4" sqref="H4:J8"/>
    </sheetView>
  </sheetViews>
  <sheetFormatPr baseColWidth="10" defaultColWidth="12.453125" defaultRowHeight="14.5" x14ac:dyDescent="0.35"/>
  <cols>
    <col min="1" max="1" width="4" style="72" customWidth="1"/>
    <col min="2" max="2" width="104.54296875" style="72" bestFit="1" customWidth="1"/>
    <col min="3" max="3" width="24.54296875" style="72" bestFit="1" customWidth="1"/>
    <col min="4" max="4" width="13.54296875" style="72" customWidth="1"/>
    <col min="5" max="6" width="17.81640625" style="72" customWidth="1"/>
    <col min="7" max="7" width="19.453125" style="73" customWidth="1"/>
    <col min="8" max="8" width="28.453125" style="72" bestFit="1" customWidth="1"/>
    <col min="9" max="9" width="30.26953125" style="74" customWidth="1"/>
    <col min="10" max="10" width="27.7265625" style="72" bestFit="1" customWidth="1"/>
    <col min="11" max="11" width="13" style="88" bestFit="1" customWidth="1"/>
    <col min="12" max="16384" width="12.453125" style="72"/>
  </cols>
  <sheetData>
    <row r="1" spans="2:11" x14ac:dyDescent="0.35">
      <c r="B1" s="1"/>
      <c r="C1" s="1"/>
      <c r="D1" s="1"/>
      <c r="E1" s="1"/>
      <c r="F1" s="1"/>
      <c r="G1" s="2"/>
      <c r="H1" s="1"/>
      <c r="I1" s="1"/>
      <c r="J1" s="1"/>
      <c r="K1" s="80"/>
    </row>
    <row r="2" spans="2:11" x14ac:dyDescent="0.35">
      <c r="B2" s="143"/>
      <c r="C2" s="144"/>
      <c r="D2" s="1"/>
      <c r="E2" s="145"/>
      <c r="F2" s="145"/>
      <c r="G2" s="2"/>
      <c r="H2" s="1"/>
      <c r="I2" s="1"/>
      <c r="J2" s="1"/>
      <c r="K2" s="80"/>
    </row>
    <row r="3" spans="2:11" x14ac:dyDescent="0.35">
      <c r="B3" s="146"/>
      <c r="C3" s="147"/>
      <c r="D3" s="3" t="s">
        <v>44</v>
      </c>
      <c r="E3" s="145"/>
      <c r="F3" s="145"/>
      <c r="G3" s="2"/>
      <c r="H3" s="3"/>
      <c r="I3" s="1"/>
      <c r="J3" s="1"/>
      <c r="K3" s="80"/>
    </row>
    <row r="4" spans="2:11" x14ac:dyDescent="0.35">
      <c r="B4" s="4" t="s">
        <v>0</v>
      </c>
      <c r="C4" s="4">
        <f>F45+102020</f>
        <v>970759.4</v>
      </c>
      <c r="D4" s="1"/>
      <c r="E4" s="1"/>
      <c r="F4" s="1"/>
      <c r="G4" s="2"/>
      <c r="H4" s="155" t="s">
        <v>49</v>
      </c>
      <c r="I4" s="155"/>
      <c r="J4" s="155"/>
      <c r="K4" s="87"/>
    </row>
    <row r="5" spans="2:11" x14ac:dyDescent="0.35">
      <c r="B5" s="4" t="s">
        <v>1</v>
      </c>
      <c r="C5" s="6">
        <f>C4*19%</f>
        <v>184444.28599999999</v>
      </c>
      <c r="D5" s="1"/>
      <c r="E5" s="3" t="s">
        <v>2</v>
      </c>
      <c r="F5" s="1"/>
      <c r="G5" s="2"/>
      <c r="H5" s="136" t="s">
        <v>58</v>
      </c>
      <c r="I5" s="136" t="s">
        <v>59</v>
      </c>
      <c r="J5" s="136" t="s">
        <v>50</v>
      </c>
      <c r="K5" s="87"/>
    </row>
    <row r="6" spans="2:11" x14ac:dyDescent="0.35">
      <c r="B6" s="7" t="s">
        <v>3</v>
      </c>
      <c r="C6" s="8">
        <f>SUM(C4:C5)</f>
        <v>1155203.686</v>
      </c>
      <c r="D6" s="1"/>
      <c r="E6" s="1"/>
      <c r="F6" s="1"/>
      <c r="G6" s="2"/>
      <c r="H6" s="1" t="s">
        <v>82</v>
      </c>
      <c r="I6" s="85">
        <v>837029</v>
      </c>
      <c r="J6" s="82" t="s">
        <v>83</v>
      </c>
      <c r="K6" s="87">
        <v>46189</v>
      </c>
    </row>
    <row r="7" spans="2:11" x14ac:dyDescent="0.35">
      <c r="B7" s="4"/>
      <c r="C7" s="4"/>
      <c r="D7" s="1"/>
      <c r="E7" s="1"/>
      <c r="F7" s="1"/>
      <c r="G7" s="2"/>
      <c r="H7" s="1" t="s">
        <v>84</v>
      </c>
      <c r="I7" s="85">
        <v>121404</v>
      </c>
      <c r="J7" s="82" t="s">
        <v>85</v>
      </c>
      <c r="K7" s="87"/>
    </row>
    <row r="8" spans="2:11" x14ac:dyDescent="0.35">
      <c r="B8" s="4" t="s">
        <v>4</v>
      </c>
      <c r="C8" s="4">
        <f>G45</f>
        <v>1325880</v>
      </c>
      <c r="D8" s="1"/>
      <c r="E8" s="1"/>
      <c r="F8" s="1"/>
      <c r="G8" s="2"/>
      <c r="H8" s="1" t="s">
        <v>86</v>
      </c>
      <c r="I8" s="2">
        <v>5000</v>
      </c>
      <c r="J8" s="82" t="s">
        <v>85</v>
      </c>
      <c r="K8" s="87"/>
    </row>
    <row r="9" spans="2:11" x14ac:dyDescent="0.35">
      <c r="B9" s="4" t="s">
        <v>5</v>
      </c>
      <c r="C9" s="6">
        <f>C8*19%</f>
        <v>251917.2</v>
      </c>
      <c r="D9" s="1"/>
      <c r="E9" s="9" t="s">
        <v>6</v>
      </c>
      <c r="F9" s="10"/>
      <c r="G9" s="11"/>
      <c r="H9" s="1"/>
      <c r="I9" s="2"/>
      <c r="J9" s="82"/>
      <c r="K9" s="87"/>
    </row>
    <row r="10" spans="2:11" x14ac:dyDescent="0.35">
      <c r="B10" s="8" t="s">
        <v>7</v>
      </c>
      <c r="C10" s="8">
        <f>C8+C9</f>
        <v>1577797.2</v>
      </c>
      <c r="D10" s="1"/>
      <c r="E10" s="12"/>
      <c r="F10" s="12"/>
      <c r="G10" s="2"/>
      <c r="H10" s="12"/>
      <c r="I10" s="85"/>
      <c r="J10" s="83"/>
      <c r="K10" s="87"/>
    </row>
    <row r="11" spans="2:11" x14ac:dyDescent="0.35">
      <c r="B11" s="4"/>
      <c r="C11" s="4"/>
      <c r="D11" s="1"/>
      <c r="E11" s="12"/>
      <c r="F11" s="1"/>
      <c r="G11" s="2"/>
      <c r="H11" s="13"/>
      <c r="I11" s="86"/>
      <c r="J11" s="83"/>
      <c r="K11" s="87"/>
    </row>
    <row r="12" spans="2:11" x14ac:dyDescent="0.35">
      <c r="B12" s="7" t="s">
        <v>8</v>
      </c>
      <c r="C12" s="4">
        <f>C9-C5</f>
        <v>67472.914000000019</v>
      </c>
      <c r="D12" s="1"/>
      <c r="E12" s="13" t="s">
        <v>9</v>
      </c>
      <c r="F12" s="8" t="s">
        <v>10</v>
      </c>
      <c r="G12" s="14" t="s">
        <v>11</v>
      </c>
      <c r="H12" s="1"/>
      <c r="I12" s="84"/>
      <c r="J12" s="83"/>
      <c r="K12" s="87"/>
    </row>
    <row r="13" spans="2:11" x14ac:dyDescent="0.35">
      <c r="B13" s="4"/>
      <c r="C13" s="4"/>
      <c r="D13" s="1" t="s">
        <v>12</v>
      </c>
      <c r="E13" s="12"/>
      <c r="F13" s="4"/>
      <c r="G13" s="2"/>
      <c r="H13" s="1"/>
      <c r="I13" s="85"/>
      <c r="J13" s="83"/>
      <c r="K13" s="87"/>
    </row>
    <row r="14" spans="2:11" x14ac:dyDescent="0.35">
      <c r="B14" s="4" t="s">
        <v>13</v>
      </c>
      <c r="C14" s="4">
        <f>C8-C4</f>
        <v>355120.6</v>
      </c>
      <c r="D14" s="1"/>
      <c r="E14" s="1"/>
      <c r="F14" s="4"/>
      <c r="G14" s="2"/>
      <c r="H14" s="1"/>
      <c r="I14" s="4"/>
      <c r="J14" s="4"/>
      <c r="K14" s="87"/>
    </row>
    <row r="15" spans="2:11" x14ac:dyDescent="0.35">
      <c r="B15" s="4" t="s">
        <v>14</v>
      </c>
      <c r="C15" s="4">
        <v>0</v>
      </c>
      <c r="D15" s="1"/>
      <c r="E15" s="1"/>
      <c r="F15" s="4"/>
      <c r="G15" s="2"/>
      <c r="H15" s="1"/>
      <c r="I15" s="4"/>
      <c r="J15" s="4"/>
      <c r="K15" s="87"/>
    </row>
    <row r="16" spans="2:11" x14ac:dyDescent="0.35">
      <c r="B16" s="4" t="s">
        <v>87</v>
      </c>
      <c r="C16" s="49">
        <v>5000</v>
      </c>
      <c r="D16" s="1"/>
      <c r="E16" s="1"/>
      <c r="F16" s="4"/>
      <c r="G16" s="2"/>
      <c r="H16" s="1"/>
      <c r="I16" s="4"/>
      <c r="J16" s="4"/>
      <c r="K16" s="87"/>
    </row>
    <row r="17" spans="2:14" x14ac:dyDescent="0.35">
      <c r="B17" s="4" t="s">
        <v>16</v>
      </c>
      <c r="C17" s="4">
        <f>C10-C6-C12-C15-C16</f>
        <v>350120.6</v>
      </c>
      <c r="D17" s="1"/>
      <c r="E17" s="1"/>
      <c r="F17" s="4"/>
      <c r="G17" s="2"/>
      <c r="H17" s="1"/>
      <c r="I17" s="4"/>
      <c r="J17" s="4"/>
      <c r="K17" s="87"/>
      <c r="L17" s="1"/>
      <c r="M17" s="1"/>
      <c r="N17" s="1"/>
    </row>
    <row r="18" spans="2:14" x14ac:dyDescent="0.35">
      <c r="B18" s="4"/>
      <c r="C18" s="4"/>
      <c r="D18" s="1"/>
      <c r="E18" s="1"/>
      <c r="F18" s="4"/>
      <c r="G18" s="2"/>
      <c r="H18" s="1"/>
      <c r="I18" s="4"/>
      <c r="J18" s="4"/>
      <c r="K18" s="87"/>
      <c r="L18" s="1"/>
      <c r="M18" s="1"/>
      <c r="N18" s="1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G19" s="2"/>
      <c r="H19" s="1"/>
      <c r="I19" s="4"/>
      <c r="J19" s="4"/>
      <c r="K19" s="87"/>
      <c r="L19" s="1"/>
      <c r="M19" s="1"/>
      <c r="N19" s="1"/>
    </row>
    <row r="20" spans="2:14" x14ac:dyDescent="0.35">
      <c r="B20" s="4"/>
      <c r="C20" s="4"/>
      <c r="D20" s="18"/>
      <c r="E20" s="18"/>
      <c r="F20" s="18"/>
      <c r="G20" s="2"/>
      <c r="H20" s="1"/>
      <c r="I20" s="4"/>
      <c r="J20" s="4"/>
      <c r="K20" s="80"/>
      <c r="L20" s="1"/>
      <c r="M20" s="1"/>
      <c r="N20" s="1"/>
    </row>
    <row r="21" spans="2:14" x14ac:dyDescent="0.35">
      <c r="B21" s="19" t="s">
        <v>18</v>
      </c>
      <c r="C21" s="20">
        <f>C17-C19-C18-C20</f>
        <v>350120.6</v>
      </c>
      <c r="D21" s="1"/>
      <c r="E21" s="1"/>
      <c r="F21" s="1"/>
      <c r="G21" s="2"/>
      <c r="H21" s="1"/>
      <c r="I21" s="4"/>
      <c r="J21" s="4"/>
      <c r="K21" s="80"/>
      <c r="L21" s="1"/>
      <c r="M21" s="1"/>
      <c r="N21" s="1"/>
    </row>
    <row r="22" spans="2:14" x14ac:dyDescent="0.35">
      <c r="B22" s="4"/>
      <c r="C22" s="4"/>
      <c r="D22" s="1"/>
      <c r="E22" s="1"/>
      <c r="F22" s="1"/>
      <c r="G22" s="2"/>
      <c r="H22" s="1"/>
      <c r="I22" s="4"/>
      <c r="J22" s="4"/>
      <c r="K22" s="87"/>
      <c r="L22" s="4"/>
      <c r="M22" s="4"/>
      <c r="N22" s="4"/>
    </row>
    <row r="23" spans="2:14" x14ac:dyDescent="0.35">
      <c r="B23" s="19" t="s">
        <v>19</v>
      </c>
      <c r="C23" s="21">
        <f>C14*12.5%</f>
        <v>44390.074999999997</v>
      </c>
      <c r="D23" s="1"/>
      <c r="E23" s="136" t="s">
        <v>20</v>
      </c>
      <c r="F23" s="136" t="s">
        <v>21</v>
      </c>
      <c r="G23" s="11" t="s">
        <v>22</v>
      </c>
      <c r="H23" s="1"/>
      <c r="I23" s="1"/>
      <c r="J23" s="1"/>
      <c r="K23" s="80"/>
      <c r="L23" s="1"/>
      <c r="M23" s="4"/>
      <c r="N23" s="4"/>
    </row>
    <row r="24" spans="2:14" x14ac:dyDescent="0.35">
      <c r="B24" s="52"/>
      <c r="C24" s="16"/>
      <c r="D24" s="1"/>
      <c r="E24" s="1"/>
      <c r="F24" s="1"/>
      <c r="G24" s="2"/>
      <c r="H24" s="1"/>
      <c r="I24" s="1"/>
      <c r="J24" s="1"/>
      <c r="K24" s="87"/>
      <c r="L24" s="53"/>
      <c r="M24" s="4"/>
      <c r="N24" s="4"/>
    </row>
    <row r="25" spans="2:14" x14ac:dyDescent="0.35">
      <c r="B25" s="19" t="s">
        <v>23</v>
      </c>
      <c r="C25" s="21">
        <f>C21-C23</f>
        <v>305730.52499999997</v>
      </c>
      <c r="D25" s="136" t="s">
        <v>24</v>
      </c>
      <c r="E25" s="8">
        <f>C25*100/C8</f>
        <v>23.05868743777717</v>
      </c>
      <c r="F25" s="3" t="s">
        <v>25</v>
      </c>
      <c r="G25" s="2"/>
      <c r="H25" s="1"/>
      <c r="I25" s="1"/>
      <c r="J25" s="1"/>
      <c r="K25" s="80"/>
      <c r="L25" s="1"/>
      <c r="M25" s="1"/>
      <c r="N25" s="1"/>
    </row>
    <row r="26" spans="2:14" x14ac:dyDescent="0.35">
      <c r="B26" s="1"/>
      <c r="C26" s="1"/>
      <c r="D26" s="1"/>
      <c r="E26" s="1"/>
      <c r="F26" s="1"/>
      <c r="G26" s="2"/>
      <c r="H26" s="1"/>
      <c r="I26" s="1"/>
      <c r="J26" s="1"/>
      <c r="K26" s="80"/>
      <c r="L26" s="1"/>
      <c r="M26" s="1"/>
      <c r="N26" s="1"/>
    </row>
    <row r="27" spans="2:14" x14ac:dyDescent="0.35">
      <c r="B27" s="19" t="s">
        <v>26</v>
      </c>
      <c r="C27" s="21">
        <f>C25*0%</f>
        <v>0</v>
      </c>
      <c r="D27" s="33" t="s">
        <v>27</v>
      </c>
      <c r="E27" s="1"/>
      <c r="F27" s="1"/>
      <c r="G27" s="2"/>
      <c r="H27" s="1"/>
      <c r="I27" s="1"/>
      <c r="J27" s="1"/>
      <c r="K27" s="80"/>
      <c r="L27" s="1"/>
      <c r="M27" s="1"/>
      <c r="N27" s="1"/>
    </row>
    <row r="28" spans="2:14" x14ac:dyDescent="0.35">
      <c r="B28" s="1"/>
      <c r="C28" s="1"/>
      <c r="D28" s="1"/>
      <c r="E28" s="1"/>
      <c r="F28" s="1"/>
      <c r="G28" s="2"/>
      <c r="H28" s="1"/>
      <c r="I28" s="1"/>
      <c r="J28" s="1"/>
      <c r="K28" s="80"/>
      <c r="L28" s="1"/>
      <c r="M28" s="1"/>
      <c r="N28" s="1"/>
    </row>
    <row r="29" spans="2:14" x14ac:dyDescent="0.35">
      <c r="B29" s="19" t="s">
        <v>28</v>
      </c>
      <c r="C29" s="20">
        <f>C25-C27</f>
        <v>305730.52499999997</v>
      </c>
      <c r="D29" s="1"/>
      <c r="E29" s="1"/>
      <c r="F29" s="1"/>
      <c r="G29" s="2"/>
      <c r="H29" s="1"/>
      <c r="I29" s="1"/>
      <c r="J29" s="1"/>
      <c r="K29" s="80"/>
      <c r="L29" s="1"/>
      <c r="M29" s="1"/>
      <c r="N29" s="1"/>
    </row>
    <row r="30" spans="2:14" x14ac:dyDescent="0.35">
      <c r="B30" s="52"/>
      <c r="C30" s="13"/>
      <c r="D30" s="1"/>
      <c r="E30" s="1"/>
      <c r="F30" s="1"/>
      <c r="G30" s="2"/>
      <c r="H30" s="1"/>
      <c r="I30" s="1"/>
      <c r="J30" s="1"/>
      <c r="K30" s="80"/>
      <c r="L30" s="1"/>
      <c r="M30" s="1"/>
      <c r="N30" s="1"/>
    </row>
    <row r="31" spans="2:14" x14ac:dyDescent="0.35">
      <c r="B31" s="19" t="s">
        <v>29</v>
      </c>
      <c r="C31" s="20">
        <v>0</v>
      </c>
      <c r="D31" s="1"/>
      <c r="E31" s="1"/>
      <c r="F31" s="1"/>
      <c r="G31" s="2"/>
      <c r="H31" s="1"/>
      <c r="I31" s="1"/>
      <c r="J31" s="1"/>
      <c r="K31" s="80"/>
      <c r="L31" s="1"/>
      <c r="M31" s="1"/>
      <c r="N31" s="1"/>
    </row>
    <row r="32" spans="2:14" x14ac:dyDescent="0.35">
      <c r="B32" s="52"/>
      <c r="C32" s="16"/>
      <c r="D32" s="1"/>
      <c r="E32" s="1"/>
      <c r="F32" s="1"/>
      <c r="G32" s="2"/>
      <c r="H32" s="1"/>
      <c r="I32" s="1"/>
      <c r="J32" s="1"/>
      <c r="K32" s="80"/>
      <c r="L32" s="1"/>
      <c r="M32" s="1"/>
      <c r="N32" s="1"/>
    </row>
    <row r="33" spans="2:11" x14ac:dyDescent="0.35">
      <c r="B33" s="19" t="s">
        <v>30</v>
      </c>
      <c r="C33" s="20">
        <f>C29*0/100</f>
        <v>0</v>
      </c>
      <c r="D33" s="1"/>
      <c r="E33" s="1"/>
      <c r="F33" s="1"/>
      <c r="G33" s="2"/>
      <c r="H33" s="1"/>
      <c r="I33" s="1"/>
      <c r="J33" s="1"/>
      <c r="K33" s="80"/>
    </row>
    <row r="34" spans="2:11" x14ac:dyDescent="0.35">
      <c r="B34" s="23"/>
      <c r="C34" s="13"/>
      <c r="D34" s="1"/>
      <c r="E34" s="1"/>
      <c r="F34" s="1"/>
      <c r="G34" s="2"/>
      <c r="H34" s="1"/>
      <c r="I34" s="1"/>
      <c r="J34" s="1"/>
      <c r="K34" s="80"/>
    </row>
    <row r="35" spans="2:11" x14ac:dyDescent="0.35">
      <c r="B35" s="19" t="s">
        <v>31</v>
      </c>
      <c r="C35" s="20">
        <f>C29-C31-C33</f>
        <v>305730.52499999997</v>
      </c>
      <c r="D35" s="33" t="s">
        <v>27</v>
      </c>
      <c r="E35" s="16"/>
      <c r="F35" s="16"/>
      <c r="G35" s="2"/>
      <c r="H35" s="12"/>
      <c r="I35" s="1"/>
      <c r="J35" s="1"/>
      <c r="K35" s="80"/>
    </row>
    <row r="36" spans="2:11" x14ac:dyDescent="0.35">
      <c r="B36" s="23"/>
      <c r="C36" s="13"/>
      <c r="D36" s="1"/>
      <c r="E36" s="1"/>
      <c r="F36" s="1"/>
      <c r="G36" s="2"/>
      <c r="H36" s="1"/>
      <c r="I36" s="1"/>
      <c r="J36" s="1"/>
      <c r="K36" s="80"/>
    </row>
    <row r="37" spans="2:11" x14ac:dyDescent="0.35">
      <c r="B37" s="148" t="s">
        <v>32</v>
      </c>
      <c r="C37" s="149"/>
      <c r="D37" s="149"/>
      <c r="E37" s="149"/>
      <c r="F37" s="149"/>
      <c r="G37" s="149"/>
      <c r="H37" s="150"/>
      <c r="I37" s="1"/>
      <c r="J37" s="1"/>
      <c r="K37" s="80"/>
    </row>
    <row r="38" spans="2:11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1"/>
      <c r="J38" s="1"/>
      <c r="K38" s="80"/>
    </row>
    <row r="39" spans="2:11" ht="16" customHeight="1" x14ac:dyDescent="0.35">
      <c r="B39" s="66" t="s">
        <v>88</v>
      </c>
      <c r="C39" s="62">
        <v>20</v>
      </c>
      <c r="D39" s="54">
        <v>43436.97</v>
      </c>
      <c r="E39" s="77">
        <v>66294</v>
      </c>
      <c r="F39" s="55">
        <f t="shared" ref="F39:F44" si="0">D39*C39</f>
        <v>868739.4</v>
      </c>
      <c r="G39" s="55">
        <f t="shared" ref="G39:G44" si="1">E39*C39</f>
        <v>1325880</v>
      </c>
      <c r="H39" s="55">
        <f t="shared" ref="H39:H44" si="2">G39-F39</f>
        <v>457140.6</v>
      </c>
      <c r="I39" s="59"/>
      <c r="J39" s="1"/>
      <c r="K39" s="80"/>
    </row>
    <row r="40" spans="2:11" ht="16" customHeight="1" x14ac:dyDescent="0.35">
      <c r="B40" s="66"/>
      <c r="C40" s="63"/>
      <c r="D40" s="54"/>
      <c r="E40" s="77"/>
      <c r="F40" s="55">
        <f t="shared" si="0"/>
        <v>0</v>
      </c>
      <c r="G40" s="55">
        <f t="shared" si="1"/>
        <v>0</v>
      </c>
      <c r="H40" s="55">
        <f t="shared" si="2"/>
        <v>0</v>
      </c>
      <c r="I40" s="59"/>
      <c r="J40" s="1"/>
      <c r="K40" s="80"/>
    </row>
    <row r="41" spans="2:11" ht="16" customHeight="1" x14ac:dyDescent="0.35">
      <c r="B41" s="66"/>
      <c r="C41" s="63"/>
      <c r="D41" s="54"/>
      <c r="E41" s="77">
        <f>D41/(1-18%)</f>
        <v>0</v>
      </c>
      <c r="F41" s="55">
        <f t="shared" si="0"/>
        <v>0</v>
      </c>
      <c r="G41" s="55">
        <f t="shared" si="1"/>
        <v>0</v>
      </c>
      <c r="H41" s="55">
        <f t="shared" si="2"/>
        <v>0</v>
      </c>
      <c r="I41" s="59"/>
      <c r="J41" s="1"/>
      <c r="K41" s="80"/>
    </row>
    <row r="42" spans="2:11" ht="16" customHeight="1" x14ac:dyDescent="0.35">
      <c r="B42" s="66"/>
      <c r="C42" s="60"/>
      <c r="D42" s="54"/>
      <c r="E42" s="77">
        <f>D42/(1-50%)</f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9"/>
      <c r="J42" s="1"/>
      <c r="K42" s="80"/>
    </row>
    <row r="43" spans="2:11" x14ac:dyDescent="0.35">
      <c r="B43" s="58"/>
      <c r="C43" s="61"/>
      <c r="D43" s="54"/>
      <c r="E43" s="77">
        <f>D43/(1-18%)</f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  <c r="J43" s="1"/>
      <c r="K43" s="80"/>
    </row>
    <row r="44" spans="2:11" x14ac:dyDescent="0.35">
      <c r="B44" s="58"/>
      <c r="C44" s="61"/>
      <c r="D44" s="54"/>
      <c r="E44" s="77">
        <f>D44/(1-18%)</f>
        <v>0</v>
      </c>
      <c r="F44" s="55">
        <f t="shared" si="0"/>
        <v>0</v>
      </c>
      <c r="G44" s="55">
        <f t="shared" si="1"/>
        <v>0</v>
      </c>
      <c r="H44" s="55">
        <f t="shared" si="2"/>
        <v>0</v>
      </c>
      <c r="I44" s="51"/>
      <c r="J44" s="1"/>
      <c r="K44" s="80"/>
    </row>
    <row r="45" spans="2:11" x14ac:dyDescent="0.35">
      <c r="B45" s="1"/>
      <c r="C45" s="1"/>
      <c r="D45" s="30"/>
      <c r="E45" s="3" t="s">
        <v>41</v>
      </c>
      <c r="F45" s="31">
        <f>SUM(F39:F44)</f>
        <v>868739.4</v>
      </c>
      <c r="G45" s="31">
        <f>SUM(G39:G44)</f>
        <v>1325880</v>
      </c>
      <c r="H45" s="31">
        <f>SUM(H39:H44)</f>
        <v>457140.6</v>
      </c>
      <c r="I45" s="1"/>
      <c r="J45" s="1"/>
      <c r="K45" s="80"/>
    </row>
    <row r="46" spans="2:11" x14ac:dyDescent="0.35">
      <c r="B46" s="12" t="s">
        <v>12</v>
      </c>
      <c r="C46" s="1"/>
      <c r="D46" s="1"/>
      <c r="E46" s="1"/>
      <c r="F46" s="1"/>
      <c r="G46" s="2"/>
      <c r="H46" s="1"/>
      <c r="I46" s="1"/>
      <c r="J46" s="1"/>
      <c r="K46" s="80"/>
    </row>
    <row r="47" spans="2:11" x14ac:dyDescent="0.35">
      <c r="B47" s="1"/>
      <c r="C47" s="65"/>
      <c r="D47" s="1"/>
      <c r="E47" s="1"/>
      <c r="F47" s="1"/>
      <c r="G47" s="2"/>
      <c r="H47" s="1"/>
      <c r="I47" s="1"/>
      <c r="J47" s="1"/>
      <c r="K47" s="80"/>
    </row>
    <row r="48" spans="2:11" x14ac:dyDescent="0.35">
      <c r="B48" s="1"/>
      <c r="C48" s="65"/>
      <c r="D48" s="1"/>
      <c r="E48" s="1"/>
      <c r="F48" s="1"/>
      <c r="G48" s="2"/>
      <c r="H48" s="1"/>
      <c r="I48" s="1"/>
      <c r="J48" s="1"/>
      <c r="K48" s="80"/>
    </row>
    <row r="49" spans="4:11" x14ac:dyDescent="0.35">
      <c r="D49" s="65"/>
      <c r="E49" s="1"/>
      <c r="F49" s="1"/>
      <c r="G49" s="2"/>
      <c r="H49" s="1"/>
      <c r="I49" s="1"/>
      <c r="J49" s="1"/>
      <c r="K49" s="80"/>
    </row>
    <row r="50" spans="4:11" x14ac:dyDescent="0.35">
      <c r="D50" s="1"/>
      <c r="E50" s="1"/>
      <c r="F50" s="1"/>
      <c r="G50" s="2"/>
      <c r="H50" s="1"/>
      <c r="I50" s="1"/>
      <c r="J50" s="1"/>
      <c r="K50" s="80"/>
    </row>
  </sheetData>
  <mergeCells count="6">
    <mergeCell ref="B2:C2"/>
    <mergeCell ref="E2:F2"/>
    <mergeCell ref="B3:C3"/>
    <mergeCell ref="E3:F3"/>
    <mergeCell ref="B37:H37"/>
    <mergeCell ref="H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E0F1-FB37-4993-A652-FEE3C978BF59}">
  <sheetPr codeName="Hoja6">
    <tabColor rgb="FF00B050"/>
  </sheetPr>
  <dimension ref="B1:N49"/>
  <sheetViews>
    <sheetView zoomScale="85" zoomScaleNormal="85" workbookViewId="0">
      <selection activeCell="G29" sqref="G29"/>
    </sheetView>
  </sheetViews>
  <sheetFormatPr baseColWidth="10" defaultColWidth="12.453125" defaultRowHeight="14.5" x14ac:dyDescent="0.35"/>
  <cols>
    <col min="1" max="1" width="4" style="1" customWidth="1"/>
    <col min="2" max="2" width="104.54296875" style="1" bestFit="1" customWidth="1"/>
    <col min="3" max="3" width="24.54296875" style="1" bestFit="1" customWidth="1"/>
    <col min="4" max="4" width="13.54296875" style="1" customWidth="1"/>
    <col min="5" max="6" width="17.81640625" style="1" customWidth="1"/>
    <col min="7" max="7" width="19.453125" style="2" customWidth="1"/>
    <col min="8" max="8" width="23.81640625" style="1" bestFit="1" customWidth="1"/>
    <col min="9" max="9" width="18" style="76" customWidth="1"/>
    <col min="10" max="10" width="16.54296875" style="1" bestFit="1" customWidth="1"/>
    <col min="11" max="11" width="13" style="1" bestFit="1" customWidth="1"/>
    <col min="12" max="16384" width="12.453125" style="1"/>
  </cols>
  <sheetData>
    <row r="1" spans="2:11" x14ac:dyDescent="0.35">
      <c r="I1" s="1"/>
    </row>
    <row r="2" spans="2:11" ht="15" customHeight="1" x14ac:dyDescent="0.35">
      <c r="B2" s="143"/>
      <c r="C2" s="144"/>
      <c r="E2" s="145"/>
      <c r="F2" s="145"/>
      <c r="I2" s="1"/>
    </row>
    <row r="3" spans="2:11" x14ac:dyDescent="0.35">
      <c r="B3" s="146"/>
      <c r="C3" s="147"/>
      <c r="D3" s="3"/>
      <c r="E3" s="145"/>
      <c r="F3" s="145"/>
      <c r="H3" s="156" t="s">
        <v>49</v>
      </c>
      <c r="I3" s="156"/>
      <c r="J3" s="156"/>
    </row>
    <row r="4" spans="2:11" x14ac:dyDescent="0.35">
      <c r="B4" s="4" t="s">
        <v>0</v>
      </c>
      <c r="C4" s="4">
        <f>F44</f>
        <v>43310.92</v>
      </c>
      <c r="H4" s="137" t="s">
        <v>58</v>
      </c>
      <c r="I4" s="137" t="s">
        <v>59</v>
      </c>
      <c r="J4" s="137" t="s">
        <v>50</v>
      </c>
      <c r="K4" s="4"/>
    </row>
    <row r="5" spans="2:11" x14ac:dyDescent="0.35">
      <c r="B5" s="4" t="s">
        <v>1</v>
      </c>
      <c r="C5" s="6">
        <f>C4*19%</f>
        <v>8229.0748000000003</v>
      </c>
      <c r="E5" s="3" t="s">
        <v>2</v>
      </c>
      <c r="H5" s="1" t="s">
        <v>82</v>
      </c>
      <c r="I5" s="85">
        <v>51539</v>
      </c>
      <c r="J5" s="82" t="s">
        <v>89</v>
      </c>
      <c r="K5" s="90" t="s">
        <v>46</v>
      </c>
    </row>
    <row r="6" spans="2:11" x14ac:dyDescent="0.35">
      <c r="B6" s="7" t="s">
        <v>3</v>
      </c>
      <c r="C6" s="8">
        <f>SUM(C4:C5)</f>
        <v>51539.9948</v>
      </c>
      <c r="H6" s="1" t="s">
        <v>90</v>
      </c>
      <c r="I6" s="85">
        <v>7431.62</v>
      </c>
      <c r="J6" s="82" t="s">
        <v>91</v>
      </c>
      <c r="K6" s="90" t="s">
        <v>46</v>
      </c>
    </row>
    <row r="7" spans="2:11" x14ac:dyDescent="0.35">
      <c r="B7" s="4"/>
      <c r="C7" s="4"/>
      <c r="H7" s="1" t="s">
        <v>92</v>
      </c>
      <c r="I7" s="2">
        <v>3184.97</v>
      </c>
      <c r="J7" s="82" t="s">
        <v>93</v>
      </c>
      <c r="K7" s="90" t="s">
        <v>46</v>
      </c>
    </row>
    <row r="8" spans="2:11" x14ac:dyDescent="0.35">
      <c r="B8" s="4" t="s">
        <v>4</v>
      </c>
      <c r="C8" s="4">
        <f>G44</f>
        <v>55444.171428571426</v>
      </c>
      <c r="H8" s="1" t="s">
        <v>94</v>
      </c>
      <c r="I8" s="4">
        <v>2305</v>
      </c>
      <c r="J8" s="81" t="s">
        <v>95</v>
      </c>
      <c r="K8" s="90" t="s">
        <v>46</v>
      </c>
    </row>
    <row r="9" spans="2:11" x14ac:dyDescent="0.35">
      <c r="B9" s="4" t="s">
        <v>5</v>
      </c>
      <c r="C9" s="6">
        <f>C8*19%</f>
        <v>10534.392571428571</v>
      </c>
      <c r="E9" s="9" t="s">
        <v>6</v>
      </c>
      <c r="F9" s="10"/>
      <c r="G9" s="11"/>
      <c r="H9" s="12"/>
      <c r="I9" s="4"/>
      <c r="J9" s="4"/>
      <c r="K9" s="4"/>
    </row>
    <row r="10" spans="2:11" x14ac:dyDescent="0.35">
      <c r="B10" s="8" t="s">
        <v>7</v>
      </c>
      <c r="C10" s="8">
        <f>C8+C9</f>
        <v>65978.563999999998</v>
      </c>
      <c r="E10" s="12"/>
      <c r="F10" s="12"/>
      <c r="H10" s="13"/>
      <c r="I10" s="4"/>
      <c r="J10" s="4"/>
      <c r="K10" s="4"/>
    </row>
    <row r="11" spans="2:11" x14ac:dyDescent="0.35">
      <c r="B11" s="4"/>
      <c r="C11" s="4"/>
      <c r="E11" s="12"/>
      <c r="I11" s="4"/>
      <c r="J11" s="4"/>
      <c r="K11" s="4"/>
    </row>
    <row r="12" spans="2:11" x14ac:dyDescent="0.35">
      <c r="B12" s="7" t="s">
        <v>8</v>
      </c>
      <c r="C12" s="4">
        <f>C9-C5</f>
        <v>2305.3177714285703</v>
      </c>
      <c r="D12" s="90" t="s">
        <v>46</v>
      </c>
      <c r="E12" s="13" t="s">
        <v>9</v>
      </c>
      <c r="F12" s="8" t="s">
        <v>10</v>
      </c>
      <c r="G12" s="14" t="s">
        <v>11</v>
      </c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I13" s="4"/>
      <c r="J13" s="4"/>
      <c r="K13" s="4"/>
    </row>
    <row r="14" spans="2:11" x14ac:dyDescent="0.35">
      <c r="B14" s="4" t="s">
        <v>13</v>
      </c>
      <c r="C14" s="4">
        <f>C8-C4</f>
        <v>12133.251428571428</v>
      </c>
      <c r="F14" s="4"/>
      <c r="I14" s="4"/>
      <c r="J14" s="4"/>
      <c r="K14" s="4"/>
    </row>
    <row r="15" spans="2:11" x14ac:dyDescent="0.35">
      <c r="B15" s="4" t="s">
        <v>14</v>
      </c>
      <c r="C15" s="4"/>
      <c r="F15" s="4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F16" s="4"/>
      <c r="I16" s="4"/>
      <c r="J16" s="4"/>
      <c r="K16" s="4"/>
    </row>
    <row r="17" spans="2:14" x14ac:dyDescent="0.35">
      <c r="B17" s="4" t="s">
        <v>16</v>
      </c>
      <c r="C17" s="4">
        <f>C10-C6-C12-C15-C16</f>
        <v>12133.251428571428</v>
      </c>
      <c r="F17" s="4"/>
      <c r="I17" s="4"/>
      <c r="J17" s="4"/>
      <c r="K17" s="4"/>
    </row>
    <row r="18" spans="2:14" x14ac:dyDescent="0.35">
      <c r="B18" s="4"/>
      <c r="C18" s="4"/>
      <c r="F18" s="4"/>
      <c r="I18" s="4"/>
      <c r="J18" s="4"/>
      <c r="K18" s="4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I19" s="4"/>
      <c r="J19" s="4"/>
      <c r="K19" s="4"/>
    </row>
    <row r="20" spans="2:14" x14ac:dyDescent="0.35">
      <c r="B20" s="4"/>
      <c r="C20" s="4"/>
      <c r="D20" s="18"/>
      <c r="E20" s="18"/>
      <c r="F20" s="18"/>
      <c r="I20" s="4"/>
      <c r="J20" s="4"/>
    </row>
    <row r="21" spans="2:14" x14ac:dyDescent="0.35">
      <c r="B21" s="19" t="s">
        <v>18</v>
      </c>
      <c r="C21" s="20">
        <f>C17-C19-C18-C20</f>
        <v>12133.251428571428</v>
      </c>
      <c r="I21" s="4"/>
      <c r="J21" s="4"/>
    </row>
    <row r="22" spans="2:14" x14ac:dyDescent="0.35">
      <c r="B22" s="4"/>
      <c r="C22" s="4"/>
      <c r="I22" s="4"/>
      <c r="J22" s="4"/>
      <c r="K22" s="4"/>
      <c r="L22" s="4"/>
      <c r="M22" s="4"/>
      <c r="N22" s="4"/>
    </row>
    <row r="23" spans="2:14" x14ac:dyDescent="0.35">
      <c r="B23" s="19" t="s">
        <v>19</v>
      </c>
      <c r="C23" s="21">
        <f>C14*12.5%</f>
        <v>1516.6564285714285</v>
      </c>
      <c r="E23" s="136" t="s">
        <v>20</v>
      </c>
      <c r="F23" s="136" t="s">
        <v>21</v>
      </c>
      <c r="G23" s="11" t="s">
        <v>22</v>
      </c>
      <c r="I23" s="1"/>
      <c r="M23" s="4"/>
      <c r="N23" s="4"/>
    </row>
    <row r="24" spans="2:14" x14ac:dyDescent="0.35">
      <c r="B24" s="52"/>
      <c r="C24" s="16"/>
      <c r="I24" s="1"/>
      <c r="K24" s="53"/>
      <c r="L24" s="53"/>
      <c r="M24" s="4"/>
      <c r="N24" s="4"/>
    </row>
    <row r="25" spans="2:14" x14ac:dyDescent="0.35">
      <c r="B25" s="19" t="s">
        <v>23</v>
      </c>
      <c r="C25" s="21">
        <f>C21-C23</f>
        <v>10616.594999999999</v>
      </c>
      <c r="D25" s="136" t="s">
        <v>24</v>
      </c>
      <c r="E25" s="8">
        <f>C25*100/C8</f>
        <v>19.148261623275101</v>
      </c>
      <c r="F25" s="3" t="s">
        <v>25</v>
      </c>
      <c r="I25" s="1"/>
    </row>
    <row r="26" spans="2:14" x14ac:dyDescent="0.35">
      <c r="I26" s="1"/>
    </row>
    <row r="27" spans="2:14" x14ac:dyDescent="0.35">
      <c r="B27" s="19" t="s">
        <v>26</v>
      </c>
      <c r="C27" s="21">
        <f>C25*0%</f>
        <v>0</v>
      </c>
      <c r="D27" s="33" t="s">
        <v>27</v>
      </c>
      <c r="I27" s="1"/>
    </row>
    <row r="28" spans="2:14" x14ac:dyDescent="0.35">
      <c r="I28" s="1"/>
    </row>
    <row r="29" spans="2:14" x14ac:dyDescent="0.35">
      <c r="B29" s="19" t="s">
        <v>28</v>
      </c>
      <c r="C29" s="20">
        <f>C25-C27</f>
        <v>10616.594999999999</v>
      </c>
      <c r="I29" s="1"/>
    </row>
    <row r="30" spans="2:14" x14ac:dyDescent="0.35">
      <c r="B30" s="52"/>
      <c r="C30" s="13"/>
      <c r="I30" s="1"/>
    </row>
    <row r="31" spans="2:14" x14ac:dyDescent="0.35">
      <c r="B31" s="19" t="s">
        <v>29</v>
      </c>
      <c r="C31" s="20">
        <v>0</v>
      </c>
      <c r="I31" s="1"/>
    </row>
    <row r="32" spans="2:14" x14ac:dyDescent="0.35">
      <c r="B32" s="52"/>
      <c r="C32" s="16"/>
      <c r="I32" s="1"/>
    </row>
    <row r="33" spans="2:9" x14ac:dyDescent="0.35">
      <c r="B33" s="19" t="s">
        <v>30</v>
      </c>
      <c r="C33" s="20">
        <f>C29*70/100</f>
        <v>7431.6164999999992</v>
      </c>
      <c r="D33" s="90" t="s">
        <v>46</v>
      </c>
      <c r="I33" s="1"/>
    </row>
    <row r="34" spans="2:9" x14ac:dyDescent="0.35">
      <c r="B34" s="23"/>
      <c r="C34" s="13"/>
      <c r="I34" s="1"/>
    </row>
    <row r="35" spans="2:9" x14ac:dyDescent="0.35">
      <c r="B35" s="19" t="s">
        <v>31</v>
      </c>
      <c r="C35" s="20">
        <f>C29-C31-C33</f>
        <v>3184.9785000000002</v>
      </c>
      <c r="D35" s="90" t="s">
        <v>46</v>
      </c>
      <c r="E35" s="16"/>
      <c r="F35" s="16"/>
      <c r="H35" s="12"/>
      <c r="I35" s="1"/>
    </row>
    <row r="36" spans="2:9" x14ac:dyDescent="0.35">
      <c r="B36" s="23"/>
      <c r="C36" s="13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1"/>
    </row>
    <row r="39" spans="2:9" ht="16" customHeight="1" x14ac:dyDescent="0.35">
      <c r="B39" s="66" t="s">
        <v>96</v>
      </c>
      <c r="C39" s="63">
        <v>1</v>
      </c>
      <c r="D39" s="54">
        <v>28310.92</v>
      </c>
      <c r="E39" s="77">
        <f>D39/(1-30%)</f>
        <v>40444.171428571426</v>
      </c>
      <c r="F39" s="55">
        <f t="shared" ref="F39:F43" si="0">D39*C39</f>
        <v>28310.92</v>
      </c>
      <c r="G39" s="55">
        <f t="shared" ref="G39:G43" si="1">E39*C39</f>
        <v>40444.171428571426</v>
      </c>
      <c r="H39" s="55">
        <f t="shared" ref="H39:H43" si="2">G39-F39</f>
        <v>12133.251428571428</v>
      </c>
      <c r="I39" s="59"/>
    </row>
    <row r="40" spans="2:9" ht="16" customHeight="1" x14ac:dyDescent="0.35">
      <c r="B40" s="66" t="s">
        <v>97</v>
      </c>
      <c r="C40" s="63">
        <v>1</v>
      </c>
      <c r="D40" s="54">
        <v>15000</v>
      </c>
      <c r="E40" s="77">
        <v>15000</v>
      </c>
      <c r="F40" s="55">
        <f t="shared" si="0"/>
        <v>15000</v>
      </c>
      <c r="G40" s="55">
        <f t="shared" si="1"/>
        <v>15000</v>
      </c>
      <c r="H40" s="55">
        <f t="shared" si="2"/>
        <v>0</v>
      </c>
      <c r="I40" s="59"/>
    </row>
    <row r="41" spans="2:9" ht="16" customHeight="1" x14ac:dyDescent="0.35">
      <c r="B41" s="66"/>
      <c r="C41" s="60"/>
      <c r="D41" s="54"/>
      <c r="E41" s="77"/>
      <c r="F41" s="55">
        <f t="shared" si="0"/>
        <v>0</v>
      </c>
      <c r="G41" s="55">
        <f t="shared" si="1"/>
        <v>0</v>
      </c>
      <c r="H41" s="55">
        <f t="shared" si="2"/>
        <v>0</v>
      </c>
      <c r="I41" s="59"/>
    </row>
    <row r="42" spans="2:9" x14ac:dyDescent="0.35">
      <c r="B42" s="58"/>
      <c r="C42" s="61"/>
      <c r="D42" s="54"/>
      <c r="E42" s="77">
        <f t="shared" ref="E42:E43" si="3">D42/(1-24%)</f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1"/>
    </row>
    <row r="43" spans="2:9" x14ac:dyDescent="0.35">
      <c r="B43" s="58"/>
      <c r="C43" s="61"/>
      <c r="D43" s="54"/>
      <c r="E43" s="77">
        <f t="shared" si="3"/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D44" s="30"/>
      <c r="E44" s="3" t="s">
        <v>41</v>
      </c>
      <c r="F44" s="31">
        <f>SUM(F39:F43)</f>
        <v>43310.92</v>
      </c>
      <c r="G44" s="31">
        <f>SUM(G39:G43)</f>
        <v>55444.171428571426</v>
      </c>
      <c r="H44" s="31">
        <f>SUM(H39:H43)</f>
        <v>12133.251428571428</v>
      </c>
      <c r="I44" s="1"/>
    </row>
    <row r="45" spans="2:9" x14ac:dyDescent="0.35">
      <c r="B45" s="12" t="s">
        <v>12</v>
      </c>
      <c r="I45" s="1"/>
    </row>
    <row r="46" spans="2:9" x14ac:dyDescent="0.35">
      <c r="C46" s="65"/>
      <c r="I46" s="1"/>
    </row>
    <row r="47" spans="2:9" x14ac:dyDescent="0.35">
      <c r="C47" s="65"/>
      <c r="I47" s="1"/>
    </row>
    <row r="48" spans="2:9" x14ac:dyDescent="0.35">
      <c r="D48" s="65"/>
      <c r="I48" s="1"/>
    </row>
    <row r="49" spans="9:9" x14ac:dyDescent="0.35">
      <c r="I49" s="1"/>
    </row>
  </sheetData>
  <mergeCells count="6">
    <mergeCell ref="B2:C2"/>
    <mergeCell ref="E2:F2"/>
    <mergeCell ref="B3:C3"/>
    <mergeCell ref="E3:F3"/>
    <mergeCell ref="B37:H37"/>
    <mergeCell ref="H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F22B-655D-4529-B039-E3DB35623E54}">
  <sheetPr codeName="Hoja10"/>
  <dimension ref="B1:N50"/>
  <sheetViews>
    <sheetView topLeftCell="A13" zoomScaleNormal="100" workbookViewId="0">
      <selection activeCell="D39" sqref="D39"/>
    </sheetView>
  </sheetViews>
  <sheetFormatPr baseColWidth="10" defaultColWidth="12.453125" defaultRowHeight="14.5" x14ac:dyDescent="0.35"/>
  <cols>
    <col min="1" max="1" width="4" style="72" customWidth="1"/>
    <col min="2" max="2" width="92.36328125" style="72" customWidth="1"/>
    <col min="3" max="3" width="24.54296875" style="72" bestFit="1" customWidth="1"/>
    <col min="4" max="4" width="13.54296875" style="72" customWidth="1"/>
    <col min="5" max="6" width="17.81640625" style="72" customWidth="1"/>
    <col min="7" max="7" width="19.453125" style="73" customWidth="1"/>
    <col min="8" max="8" width="19.453125" style="72" customWidth="1"/>
    <col min="9" max="9" width="75.54296875" style="74" bestFit="1" customWidth="1"/>
    <col min="10" max="10" width="9.1796875" style="72" bestFit="1" customWidth="1"/>
    <col min="11" max="11" width="13" style="72" bestFit="1" customWidth="1"/>
    <col min="12" max="16384" width="12.453125" style="72"/>
  </cols>
  <sheetData>
    <row r="1" spans="2:11" x14ac:dyDescent="0.35">
      <c r="B1" s="1"/>
      <c r="C1" s="1"/>
      <c r="D1" s="1"/>
      <c r="E1" s="1"/>
      <c r="F1" s="1"/>
      <c r="G1" s="2"/>
      <c r="H1" s="1"/>
      <c r="I1" s="1"/>
      <c r="J1" s="1"/>
      <c r="K1" s="1"/>
    </row>
    <row r="2" spans="2:11" x14ac:dyDescent="0.35">
      <c r="B2" s="143" t="s">
        <v>150</v>
      </c>
      <c r="C2" s="144"/>
      <c r="D2" s="1"/>
      <c r="E2" s="145"/>
      <c r="F2" s="145"/>
      <c r="G2" s="2"/>
      <c r="H2" s="1"/>
      <c r="I2" s="1"/>
      <c r="J2" s="1"/>
      <c r="K2" s="1"/>
    </row>
    <row r="3" spans="2:11" x14ac:dyDescent="0.35">
      <c r="B3" s="146"/>
      <c r="C3" s="147"/>
      <c r="D3" s="3"/>
      <c r="E3" s="145"/>
      <c r="F3" s="145"/>
      <c r="G3" s="2"/>
      <c r="H3" s="3"/>
      <c r="I3" s="1"/>
      <c r="J3" s="1"/>
      <c r="K3" s="1"/>
    </row>
    <row r="4" spans="2:11" x14ac:dyDescent="0.35">
      <c r="B4" s="4" t="s">
        <v>0</v>
      </c>
      <c r="C4" s="4">
        <f>F45</f>
        <v>50000</v>
      </c>
      <c r="D4" s="1"/>
      <c r="E4" s="1"/>
      <c r="F4" s="1"/>
      <c r="G4" s="2"/>
      <c r="H4" s="1"/>
      <c r="I4" s="1"/>
      <c r="J4" s="1"/>
      <c r="K4" s="4"/>
    </row>
    <row r="5" spans="2:11" x14ac:dyDescent="0.35">
      <c r="B5" s="4" t="s">
        <v>1</v>
      </c>
      <c r="C5" s="6">
        <f>C4*19%</f>
        <v>9500</v>
      </c>
      <c r="D5" s="1"/>
      <c r="E5" s="3" t="s">
        <v>2</v>
      </c>
      <c r="F5" s="1"/>
      <c r="G5" s="2"/>
      <c r="H5" s="1"/>
      <c r="I5" s="1"/>
      <c r="J5" s="1"/>
      <c r="K5" s="4"/>
    </row>
    <row r="6" spans="2:11" x14ac:dyDescent="0.35">
      <c r="B6" s="7" t="s">
        <v>3</v>
      </c>
      <c r="C6" s="8">
        <f>SUM(C4:C5)</f>
        <v>59500</v>
      </c>
      <c r="D6" s="1"/>
      <c r="E6" s="1"/>
      <c r="F6" s="1"/>
      <c r="G6" s="2"/>
      <c r="H6" s="1"/>
      <c r="I6" s="1"/>
      <c r="J6" s="1"/>
      <c r="K6" s="4"/>
    </row>
    <row r="7" spans="2:11" x14ac:dyDescent="0.35">
      <c r="B7" s="4"/>
      <c r="C7" s="4"/>
      <c r="D7" s="1"/>
      <c r="E7" s="1"/>
      <c r="F7" s="1"/>
      <c r="G7" s="2"/>
      <c r="H7" s="1"/>
      <c r="I7" s="1"/>
      <c r="J7" s="1"/>
      <c r="K7" s="4"/>
    </row>
    <row r="8" spans="2:11" x14ac:dyDescent="0.35">
      <c r="B8" s="4" t="s">
        <v>4</v>
      </c>
      <c r="C8" s="4">
        <f>G45</f>
        <v>102040</v>
      </c>
      <c r="D8" s="1"/>
      <c r="E8" s="1"/>
      <c r="F8" s="1"/>
      <c r="G8" s="2"/>
      <c r="H8" s="1"/>
      <c r="I8" s="1"/>
      <c r="J8" s="1"/>
      <c r="K8" s="4"/>
    </row>
    <row r="9" spans="2:11" x14ac:dyDescent="0.35">
      <c r="B9" s="4" t="s">
        <v>5</v>
      </c>
      <c r="C9" s="6">
        <f>C8*19%</f>
        <v>19387.599999999999</v>
      </c>
      <c r="D9" s="1"/>
      <c r="E9" s="9" t="s">
        <v>6</v>
      </c>
      <c r="F9" s="10"/>
      <c r="G9" s="11"/>
      <c r="H9" s="12"/>
      <c r="I9" s="4"/>
      <c r="J9" s="4"/>
      <c r="K9" s="4"/>
    </row>
    <row r="10" spans="2:11" x14ac:dyDescent="0.35">
      <c r="B10" s="8" t="s">
        <v>7</v>
      </c>
      <c r="C10" s="8">
        <f>C8+C9</f>
        <v>121427.6</v>
      </c>
      <c r="D10" s="1"/>
      <c r="E10" s="12"/>
      <c r="F10" s="12"/>
      <c r="G10" s="2"/>
      <c r="H10" s="13"/>
      <c r="I10" s="4"/>
      <c r="J10" s="4"/>
      <c r="K10" s="4"/>
    </row>
    <row r="11" spans="2:11" x14ac:dyDescent="0.35">
      <c r="B11" s="4"/>
      <c r="C11" s="4"/>
      <c r="D11" s="1"/>
      <c r="E11" s="12"/>
      <c r="F11" s="1"/>
      <c r="G11" s="2"/>
      <c r="H11" s="1"/>
      <c r="I11" s="4"/>
      <c r="J11" s="4"/>
      <c r="K11" s="4"/>
    </row>
    <row r="12" spans="2:11" x14ac:dyDescent="0.35">
      <c r="B12" s="7" t="s">
        <v>8</v>
      </c>
      <c r="C12" s="4">
        <f>C9-C5</f>
        <v>9887.5999999999985</v>
      </c>
      <c r="D12" s="1" t="s">
        <v>95</v>
      </c>
      <c r="E12" s="13" t="s">
        <v>9</v>
      </c>
      <c r="F12" s="8" t="s">
        <v>10</v>
      </c>
      <c r="G12" s="14" t="s">
        <v>11</v>
      </c>
      <c r="H12" s="1"/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G13" s="2"/>
      <c r="H13" s="1"/>
      <c r="I13" s="4"/>
      <c r="J13" s="4"/>
      <c r="K13" s="4"/>
    </row>
    <row r="14" spans="2:11" x14ac:dyDescent="0.35">
      <c r="B14" s="4" t="s">
        <v>13</v>
      </c>
      <c r="C14" s="4">
        <f>C8-C4</f>
        <v>52040</v>
      </c>
      <c r="D14" s="1"/>
      <c r="E14" s="1"/>
      <c r="F14" s="4"/>
      <c r="G14" s="2"/>
      <c r="H14" s="1"/>
      <c r="I14" s="4"/>
      <c r="J14" s="4"/>
      <c r="K14" s="4"/>
    </row>
    <row r="15" spans="2:11" x14ac:dyDescent="0.35">
      <c r="B15" s="4" t="s">
        <v>14</v>
      </c>
      <c r="C15" s="4">
        <v>0</v>
      </c>
      <c r="D15" s="1"/>
      <c r="E15" s="1"/>
      <c r="F15" s="4"/>
      <c r="G15" s="2"/>
      <c r="H15" s="1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D16" s="1"/>
      <c r="E16" s="1"/>
      <c r="F16" s="4"/>
      <c r="G16" s="2"/>
      <c r="H16" s="1"/>
      <c r="I16" s="4"/>
      <c r="J16" s="4"/>
      <c r="K16" s="4"/>
    </row>
    <row r="17" spans="2:14" x14ac:dyDescent="0.35">
      <c r="B17" s="4" t="s">
        <v>16</v>
      </c>
      <c r="C17" s="4">
        <f>C10-C6-C12-C15-C16</f>
        <v>52040.000000000007</v>
      </c>
      <c r="D17" s="1"/>
      <c r="E17" s="1"/>
      <c r="F17" s="4"/>
      <c r="G17" s="2"/>
      <c r="H17" s="1"/>
      <c r="I17" s="4"/>
      <c r="J17" s="4"/>
      <c r="K17" s="4"/>
      <c r="L17" s="1"/>
      <c r="M17" s="1"/>
      <c r="N17" s="1"/>
    </row>
    <row r="18" spans="2:14" x14ac:dyDescent="0.35">
      <c r="B18" s="4"/>
      <c r="C18" s="4"/>
      <c r="D18" s="1"/>
      <c r="E18" s="1"/>
      <c r="F18" s="4"/>
      <c r="G18" s="2"/>
      <c r="H18" s="1"/>
      <c r="I18" s="4"/>
      <c r="J18" s="4"/>
      <c r="K18" s="4"/>
      <c r="L18" s="1"/>
      <c r="M18" s="1"/>
      <c r="N18" s="1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G19" s="2"/>
      <c r="H19" s="1"/>
      <c r="I19" s="4"/>
      <c r="J19" s="4"/>
      <c r="K19" s="4"/>
      <c r="L19" s="1"/>
      <c r="M19" s="1"/>
      <c r="N19" s="1"/>
    </row>
    <row r="20" spans="2:14" x14ac:dyDescent="0.35">
      <c r="B20" s="4"/>
      <c r="C20" s="4"/>
      <c r="D20" s="18"/>
      <c r="E20" s="18"/>
      <c r="F20" s="18"/>
      <c r="G20" s="2"/>
      <c r="H20" s="1"/>
      <c r="I20" s="4"/>
      <c r="J20" s="4"/>
      <c r="K20" s="1"/>
      <c r="L20" s="1"/>
      <c r="M20" s="1"/>
      <c r="N20" s="1"/>
    </row>
    <row r="21" spans="2:14" x14ac:dyDescent="0.35">
      <c r="B21" s="19" t="s">
        <v>18</v>
      </c>
      <c r="C21" s="20">
        <f>C17-C19-C18-C20</f>
        <v>52040.000000000007</v>
      </c>
      <c r="D21" s="1"/>
      <c r="E21" s="1"/>
      <c r="F21" s="1"/>
      <c r="G21" s="2"/>
      <c r="H21" s="1"/>
      <c r="I21" s="4"/>
      <c r="J21" s="4"/>
      <c r="K21" s="1"/>
      <c r="L21" s="1"/>
      <c r="M21" s="1"/>
      <c r="N21" s="1"/>
    </row>
    <row r="22" spans="2:14" x14ac:dyDescent="0.35">
      <c r="B22" s="4"/>
      <c r="C22" s="4"/>
      <c r="D22" s="1"/>
      <c r="E22" s="1"/>
      <c r="F22" s="1"/>
      <c r="G22" s="2"/>
      <c r="H22" s="1"/>
      <c r="I22" s="4"/>
      <c r="J22" s="4"/>
      <c r="K22" s="4"/>
      <c r="L22" s="4"/>
      <c r="M22" s="4"/>
      <c r="N22" s="4"/>
    </row>
    <row r="23" spans="2:14" x14ac:dyDescent="0.35">
      <c r="B23" s="19" t="s">
        <v>19</v>
      </c>
      <c r="C23" s="21">
        <f>C14*12.5%</f>
        <v>6505</v>
      </c>
      <c r="D23" s="1"/>
      <c r="E23" s="136" t="s">
        <v>20</v>
      </c>
      <c r="F23" s="136" t="s">
        <v>21</v>
      </c>
      <c r="G23" s="11" t="s">
        <v>22</v>
      </c>
      <c r="H23" s="1"/>
      <c r="I23" s="1"/>
      <c r="J23" s="1"/>
      <c r="K23" s="1"/>
      <c r="L23" s="1"/>
      <c r="M23" s="4"/>
      <c r="N23" s="4"/>
    </row>
    <row r="24" spans="2:14" x14ac:dyDescent="0.35">
      <c r="B24" s="52"/>
      <c r="C24" s="16"/>
      <c r="D24" s="1"/>
      <c r="E24" s="1"/>
      <c r="F24" s="1"/>
      <c r="G24" s="2"/>
      <c r="H24" s="1"/>
      <c r="I24" s="1"/>
      <c r="J24" s="1"/>
      <c r="K24" s="53"/>
      <c r="L24" s="53"/>
      <c r="M24" s="4"/>
      <c r="N24" s="4"/>
    </row>
    <row r="25" spans="2:14" x14ac:dyDescent="0.35">
      <c r="B25" s="19" t="s">
        <v>23</v>
      </c>
      <c r="C25" s="21">
        <f>C21-C23</f>
        <v>45535.000000000007</v>
      </c>
      <c r="D25" s="136" t="s">
        <v>24</v>
      </c>
      <c r="E25" s="8">
        <f>C25*100/C8</f>
        <v>44.62465699725599</v>
      </c>
      <c r="F25" s="3" t="s">
        <v>25</v>
      </c>
      <c r="G25" s="2"/>
      <c r="H25" s="1"/>
      <c r="I25" s="1"/>
      <c r="J25" s="1"/>
      <c r="K25" s="1"/>
      <c r="L25" s="1"/>
      <c r="M25" s="1"/>
      <c r="N25" s="1"/>
    </row>
    <row r="26" spans="2:14" x14ac:dyDescent="0.35">
      <c r="B26" s="1"/>
      <c r="C26" s="1"/>
      <c r="D26" s="1"/>
      <c r="E26" s="1"/>
      <c r="F26" s="1"/>
      <c r="G26" s="2"/>
      <c r="H26" s="1"/>
      <c r="I26" s="1"/>
      <c r="J26" s="1"/>
      <c r="K26" s="1"/>
      <c r="L26" s="1"/>
      <c r="M26" s="1"/>
      <c r="N26" s="1"/>
    </row>
    <row r="27" spans="2:14" x14ac:dyDescent="0.35">
      <c r="B27" s="19" t="s">
        <v>26</v>
      </c>
      <c r="C27" s="21">
        <f>C25*0%</f>
        <v>0</v>
      </c>
      <c r="D27" s="33" t="s">
        <v>27</v>
      </c>
      <c r="E27" s="1"/>
      <c r="F27" s="1"/>
      <c r="G27" s="2"/>
      <c r="H27" s="1"/>
      <c r="I27" s="1"/>
      <c r="J27" s="1"/>
      <c r="K27" s="1"/>
      <c r="L27" s="1"/>
      <c r="M27" s="1"/>
      <c r="N27" s="1"/>
    </row>
    <row r="28" spans="2:14" x14ac:dyDescent="0.35">
      <c r="B28" s="1"/>
      <c r="C28" s="1"/>
      <c r="D28" s="1"/>
      <c r="E28" s="1"/>
      <c r="F28" s="1"/>
      <c r="G28" s="2"/>
      <c r="H28" s="1"/>
      <c r="I28" s="1"/>
      <c r="J28" s="1"/>
      <c r="K28" s="1"/>
      <c r="L28" s="1"/>
      <c r="M28" s="1"/>
      <c r="N28" s="1"/>
    </row>
    <row r="29" spans="2:14" x14ac:dyDescent="0.35">
      <c r="B29" s="19" t="s">
        <v>28</v>
      </c>
      <c r="C29" s="20">
        <f>C25-C27</f>
        <v>45535.000000000007</v>
      </c>
      <c r="D29" s="1"/>
      <c r="E29" s="1"/>
      <c r="F29" s="1"/>
      <c r="G29" s="2"/>
      <c r="H29" s="1"/>
      <c r="I29" s="1"/>
      <c r="J29" s="1"/>
      <c r="K29" s="1"/>
      <c r="L29" s="1"/>
      <c r="M29" s="1"/>
      <c r="N29" s="1"/>
    </row>
    <row r="30" spans="2:14" x14ac:dyDescent="0.35">
      <c r="B30" s="52"/>
      <c r="C30" s="13"/>
      <c r="D30" s="1"/>
      <c r="E30" s="1"/>
      <c r="F30" s="1"/>
      <c r="G30" s="2"/>
      <c r="H30" s="1"/>
      <c r="I30" s="1"/>
      <c r="J30" s="1"/>
      <c r="K30" s="1"/>
      <c r="L30" s="1"/>
      <c r="M30" s="1"/>
      <c r="N30" s="1"/>
    </row>
    <row r="31" spans="2:14" x14ac:dyDescent="0.35">
      <c r="B31" s="19" t="s">
        <v>29</v>
      </c>
      <c r="C31" s="20">
        <v>0</v>
      </c>
      <c r="D31" s="1"/>
      <c r="E31" s="1"/>
      <c r="F31" s="1"/>
      <c r="G31" s="2"/>
      <c r="H31" s="1"/>
      <c r="I31" s="1"/>
      <c r="J31" s="1"/>
      <c r="K31" s="1"/>
      <c r="L31" s="1"/>
      <c r="M31" s="1"/>
      <c r="N31" s="1"/>
    </row>
    <row r="32" spans="2:14" x14ac:dyDescent="0.35">
      <c r="B32" s="52"/>
      <c r="C32" s="16"/>
      <c r="D32" s="1"/>
      <c r="E32" s="1"/>
      <c r="F32" s="1"/>
      <c r="G32" s="2"/>
      <c r="H32" s="1"/>
      <c r="I32" s="1"/>
      <c r="J32" s="1"/>
      <c r="K32" s="1"/>
      <c r="L32" s="1"/>
      <c r="M32" s="1"/>
      <c r="N32" s="1"/>
    </row>
    <row r="33" spans="2:9" x14ac:dyDescent="0.35">
      <c r="B33" s="19" t="s">
        <v>30</v>
      </c>
      <c r="C33" s="20">
        <f>C29*0/100</f>
        <v>0</v>
      </c>
      <c r="D33" s="1"/>
      <c r="E33" s="1"/>
      <c r="F33" s="1"/>
      <c r="G33" s="2"/>
      <c r="H33" s="1"/>
      <c r="I33" s="1"/>
    </row>
    <row r="34" spans="2:9" x14ac:dyDescent="0.35">
      <c r="B34" s="23"/>
      <c r="C34" s="13"/>
      <c r="D34" s="1"/>
      <c r="E34" s="1"/>
      <c r="F34" s="1"/>
      <c r="G34" s="2"/>
      <c r="H34" s="1"/>
      <c r="I34" s="1"/>
    </row>
    <row r="35" spans="2:9" x14ac:dyDescent="0.35">
      <c r="B35" s="19" t="s">
        <v>31</v>
      </c>
      <c r="C35" s="20">
        <f>C29-C31-C33</f>
        <v>45535.000000000007</v>
      </c>
      <c r="D35" s="33" t="s">
        <v>27</v>
      </c>
      <c r="E35" s="16"/>
      <c r="F35" s="16"/>
      <c r="G35" s="2"/>
      <c r="H35" s="12"/>
      <c r="I35" s="1"/>
    </row>
    <row r="36" spans="2:9" x14ac:dyDescent="0.35">
      <c r="B36" s="23"/>
      <c r="C36" s="13"/>
      <c r="D36" s="1"/>
      <c r="E36" s="1"/>
      <c r="F36" s="1"/>
      <c r="G36" s="2"/>
      <c r="H36" s="1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1"/>
    </row>
    <row r="39" spans="2:9" ht="16" customHeight="1" x14ac:dyDescent="0.35">
      <c r="B39" s="66" t="s">
        <v>149</v>
      </c>
      <c r="C39" s="62">
        <v>1</v>
      </c>
      <c r="D39" s="54">
        <v>50000</v>
      </c>
      <c r="E39" s="77">
        <v>102040</v>
      </c>
      <c r="F39" s="55">
        <f t="shared" ref="F39:F44" si="0">D39*C39</f>
        <v>50000</v>
      </c>
      <c r="G39" s="55">
        <f t="shared" ref="G39:G44" si="1">E39*C39</f>
        <v>102040</v>
      </c>
      <c r="H39" s="55">
        <f t="shared" ref="H39:H44" si="2">G39-F39</f>
        <v>52040</v>
      </c>
      <c r="I39" s="59" t="s">
        <v>103</v>
      </c>
    </row>
    <row r="40" spans="2:9" ht="16" customHeight="1" x14ac:dyDescent="0.35">
      <c r="B40" s="66"/>
      <c r="C40" s="63"/>
      <c r="D40" s="54"/>
      <c r="E40" s="77"/>
      <c r="F40" s="55">
        <f t="shared" si="0"/>
        <v>0</v>
      </c>
      <c r="G40" s="55">
        <f t="shared" si="1"/>
        <v>0</v>
      </c>
      <c r="H40" s="55">
        <f t="shared" si="2"/>
        <v>0</v>
      </c>
      <c r="I40" s="59"/>
    </row>
    <row r="41" spans="2:9" ht="16" customHeight="1" x14ac:dyDescent="0.35">
      <c r="B41" s="66"/>
      <c r="C41" s="63"/>
      <c r="D41" s="54"/>
      <c r="E41" s="77">
        <f>D41/(1-18%)</f>
        <v>0</v>
      </c>
      <c r="F41" s="55">
        <f t="shared" si="0"/>
        <v>0</v>
      </c>
      <c r="G41" s="55">
        <f t="shared" si="1"/>
        <v>0</v>
      </c>
      <c r="H41" s="55">
        <f t="shared" si="2"/>
        <v>0</v>
      </c>
      <c r="I41" s="59"/>
    </row>
    <row r="42" spans="2:9" ht="16" customHeight="1" x14ac:dyDescent="0.35">
      <c r="B42" s="66"/>
      <c r="C42" s="60"/>
      <c r="D42" s="54"/>
      <c r="E42" s="77">
        <f>D42/(1-50%)</f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9"/>
    </row>
    <row r="43" spans="2:9" x14ac:dyDescent="0.35">
      <c r="B43" s="58"/>
      <c r="C43" s="61"/>
      <c r="D43" s="54"/>
      <c r="E43" s="77">
        <f>D43/(1-18%)</f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B44" s="58"/>
      <c r="C44" s="61"/>
      <c r="D44" s="54"/>
      <c r="E44" s="77">
        <f>D44/(1-18%)</f>
        <v>0</v>
      </c>
      <c r="F44" s="55">
        <f t="shared" si="0"/>
        <v>0</v>
      </c>
      <c r="G44" s="55">
        <f t="shared" si="1"/>
        <v>0</v>
      </c>
      <c r="H44" s="55">
        <f t="shared" si="2"/>
        <v>0</v>
      </c>
      <c r="I44" s="51"/>
    </row>
    <row r="45" spans="2:9" x14ac:dyDescent="0.35">
      <c r="B45" s="1"/>
      <c r="C45" s="1"/>
      <c r="D45" s="30"/>
      <c r="E45" s="3" t="s">
        <v>41</v>
      </c>
      <c r="F45" s="31">
        <f>SUM(F39:F44)</f>
        <v>50000</v>
      </c>
      <c r="G45" s="31">
        <f>SUM(G39:G44)</f>
        <v>102040</v>
      </c>
      <c r="H45" s="31">
        <f>SUM(H39:H44)</f>
        <v>52040</v>
      </c>
      <c r="I45" s="1"/>
    </row>
    <row r="46" spans="2:9" x14ac:dyDescent="0.35">
      <c r="B46" s="12" t="s">
        <v>12</v>
      </c>
      <c r="C46" s="1"/>
      <c r="D46" s="1"/>
      <c r="E46" s="1"/>
      <c r="F46" s="1"/>
      <c r="G46" s="2"/>
      <c r="H46" s="1"/>
      <c r="I46" s="1"/>
    </row>
    <row r="47" spans="2:9" x14ac:dyDescent="0.35">
      <c r="B47" s="1"/>
      <c r="C47" s="65"/>
      <c r="D47" s="1"/>
      <c r="E47" s="1"/>
      <c r="F47" s="1"/>
      <c r="G47" s="2"/>
      <c r="H47" s="1"/>
      <c r="I47" s="1"/>
    </row>
    <row r="48" spans="2:9" x14ac:dyDescent="0.35">
      <c r="B48" s="1"/>
      <c r="C48" s="65"/>
      <c r="D48" s="1"/>
      <c r="E48" s="1"/>
      <c r="F48" s="1"/>
      <c r="G48" s="2"/>
      <c r="H48" s="1"/>
      <c r="I48" s="1"/>
    </row>
    <row r="49" spans="4:9" x14ac:dyDescent="0.35">
      <c r="D49" s="65"/>
      <c r="E49" s="1"/>
      <c r="F49" s="1"/>
      <c r="G49" s="2"/>
      <c r="H49" s="1"/>
      <c r="I49" s="1"/>
    </row>
    <row r="50" spans="4:9" x14ac:dyDescent="0.35">
      <c r="D50" s="1"/>
      <c r="E50" s="1"/>
      <c r="F50" s="1"/>
      <c r="G50" s="2"/>
      <c r="H50" s="1"/>
      <c r="I50" s="1"/>
    </row>
  </sheetData>
  <mergeCells count="5">
    <mergeCell ref="B2:C2"/>
    <mergeCell ref="E2:F2"/>
    <mergeCell ref="B3:C3"/>
    <mergeCell ref="E3:F3"/>
    <mergeCell ref="B37:H37"/>
  </mergeCells>
  <hyperlinks>
    <hyperlink ref="I39" r:id="rId1" xr:uid="{83B2E682-7506-4447-8D13-F6AC875854B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5DD2-7A40-4103-AC1D-C9A5C71FB78B}">
  <sheetPr codeName="Hoja7"/>
  <dimension ref="A1:O49"/>
  <sheetViews>
    <sheetView zoomScale="85" zoomScaleNormal="85" workbookViewId="0">
      <selection activeCell="I2" sqref="I2:K9"/>
    </sheetView>
  </sheetViews>
  <sheetFormatPr baseColWidth="10" defaultColWidth="12.453125" defaultRowHeight="14.5" x14ac:dyDescent="0.35"/>
  <cols>
    <col min="1" max="1" width="4.81640625" style="96" customWidth="1"/>
    <col min="2" max="2" width="104.54296875" style="96" bestFit="1" customWidth="1"/>
    <col min="3" max="3" width="24.54296875" style="96" bestFit="1" customWidth="1"/>
    <col min="4" max="4" width="13.54296875" style="96" customWidth="1"/>
    <col min="5" max="6" width="17.81640625" style="96" customWidth="1"/>
    <col min="7" max="7" width="19.453125" style="97" customWidth="1"/>
    <col min="8" max="8" width="19.453125" style="96" customWidth="1"/>
    <col min="9" max="9" width="28.90625" style="98" customWidth="1"/>
    <col min="10" max="10" width="14.90625" style="96" customWidth="1"/>
    <col min="11" max="11" width="30.26953125" style="96" bestFit="1" customWidth="1"/>
    <col min="12" max="16384" width="12.453125" style="96"/>
  </cols>
  <sheetData>
    <row r="1" spans="2:11" ht="15" thickBot="1" x14ac:dyDescent="0.4">
      <c r="I1" s="96"/>
    </row>
    <row r="2" spans="2:11" ht="15" customHeight="1" thickBot="1" x14ac:dyDescent="0.4">
      <c r="B2" s="160" t="s">
        <v>98</v>
      </c>
      <c r="C2" s="161"/>
      <c r="E2" s="162"/>
      <c r="F2" s="162"/>
      <c r="I2" s="155" t="s">
        <v>49</v>
      </c>
      <c r="J2" s="155"/>
      <c r="K2" s="155"/>
    </row>
    <row r="3" spans="2:11" ht="15" thickBot="1" x14ac:dyDescent="0.4">
      <c r="B3" s="163" t="s">
        <v>99</v>
      </c>
      <c r="C3" s="164"/>
      <c r="D3" s="99"/>
      <c r="E3" s="162"/>
      <c r="F3" s="162"/>
      <c r="H3" s="99"/>
      <c r="I3" s="136" t="s">
        <v>58</v>
      </c>
      <c r="J3" s="136" t="s">
        <v>59</v>
      </c>
      <c r="K3" s="136" t="s">
        <v>50</v>
      </c>
    </row>
    <row r="4" spans="2:11" x14ac:dyDescent="0.35">
      <c r="B4" s="100" t="s">
        <v>0</v>
      </c>
      <c r="C4" s="100">
        <f>F44+70000</f>
        <v>1309680</v>
      </c>
      <c r="I4" s="1" t="s">
        <v>153</v>
      </c>
      <c r="J4" s="4">
        <v>1558519</v>
      </c>
      <c r="K4" s="82" t="s">
        <v>154</v>
      </c>
    </row>
    <row r="5" spans="2:11" ht="15" thickBot="1" x14ac:dyDescent="0.4">
      <c r="B5" s="100" t="s">
        <v>1</v>
      </c>
      <c r="C5" s="101">
        <f>C4*19%</f>
        <v>248839.2</v>
      </c>
      <c r="E5" s="99" t="s">
        <v>2</v>
      </c>
      <c r="I5" s="1" t="s">
        <v>155</v>
      </c>
      <c r="J5" s="4">
        <v>49042</v>
      </c>
      <c r="K5" s="82" t="s">
        <v>156</v>
      </c>
    </row>
    <row r="6" spans="2:11" ht="15" thickTop="1" x14ac:dyDescent="0.35">
      <c r="B6" s="102" t="s">
        <v>3</v>
      </c>
      <c r="C6" s="103">
        <f>SUM(C4:C5)</f>
        <v>1558519.2</v>
      </c>
      <c r="I6" s="1" t="s">
        <v>158</v>
      </c>
      <c r="J6" s="4">
        <v>47135.34</v>
      </c>
      <c r="K6" s="82" t="s">
        <v>159</v>
      </c>
    </row>
    <row r="7" spans="2:11" x14ac:dyDescent="0.35">
      <c r="B7" s="100"/>
      <c r="C7" s="100"/>
      <c r="I7" s="96" t="s">
        <v>160</v>
      </c>
      <c r="J7" s="100">
        <v>98984.21</v>
      </c>
      <c r="K7" s="140" t="s">
        <v>164</v>
      </c>
    </row>
    <row r="8" spans="2:11" x14ac:dyDescent="0.35">
      <c r="B8" s="100" t="s">
        <v>4</v>
      </c>
      <c r="C8" s="100">
        <f>G44</f>
        <v>1567800</v>
      </c>
      <c r="I8" s="96" t="s">
        <v>161</v>
      </c>
      <c r="J8" s="100">
        <v>42421.81</v>
      </c>
      <c r="K8" s="140" t="s">
        <v>165</v>
      </c>
    </row>
    <row r="9" spans="2:11" ht="15" thickBot="1" x14ac:dyDescent="0.4">
      <c r="B9" s="100" t="s">
        <v>5</v>
      </c>
      <c r="C9" s="101">
        <f>C8*19%</f>
        <v>297882</v>
      </c>
      <c r="E9" s="104" t="s">
        <v>6</v>
      </c>
      <c r="F9" s="105"/>
      <c r="G9" s="106"/>
      <c r="H9" s="107"/>
      <c r="I9" s="4" t="s">
        <v>166</v>
      </c>
      <c r="J9" s="100">
        <v>37313.64</v>
      </c>
      <c r="K9" s="140" t="s">
        <v>167</v>
      </c>
    </row>
    <row r="10" spans="2:11" ht="15" thickTop="1" x14ac:dyDescent="0.35">
      <c r="B10" s="103" t="s">
        <v>7</v>
      </c>
      <c r="C10" s="103">
        <f>C8+C9</f>
        <v>1865682</v>
      </c>
      <c r="E10" s="107"/>
      <c r="F10" s="107"/>
      <c r="H10" s="108"/>
      <c r="I10" s="100"/>
      <c r="J10" s="100"/>
      <c r="K10" s="100"/>
    </row>
    <row r="11" spans="2:11" x14ac:dyDescent="0.35">
      <c r="B11" s="100"/>
      <c r="C11" s="100"/>
      <c r="E11" s="107"/>
      <c r="I11" s="100"/>
      <c r="J11" s="100"/>
      <c r="K11" s="100"/>
    </row>
    <row r="12" spans="2:11" x14ac:dyDescent="0.35">
      <c r="B12" s="102" t="s">
        <v>8</v>
      </c>
      <c r="C12" s="100">
        <f>C9-C5</f>
        <v>49042.799999999988</v>
      </c>
      <c r="E12" s="108" t="s">
        <v>9</v>
      </c>
      <c r="F12" s="103" t="s">
        <v>10</v>
      </c>
      <c r="G12" s="109" t="s">
        <v>11</v>
      </c>
      <c r="I12" s="100"/>
      <c r="J12" s="100"/>
      <c r="K12" s="100"/>
    </row>
    <row r="13" spans="2:11" x14ac:dyDescent="0.35">
      <c r="B13" s="100"/>
      <c r="C13" s="100"/>
      <c r="D13" s="96" t="s">
        <v>12</v>
      </c>
      <c r="E13" s="107"/>
      <c r="F13" s="100"/>
      <c r="I13" s="100"/>
      <c r="J13" s="100"/>
      <c r="K13" s="100"/>
    </row>
    <row r="14" spans="2:11" x14ac:dyDescent="0.35">
      <c r="B14" s="100" t="s">
        <v>13</v>
      </c>
      <c r="C14" s="100">
        <f>C8-C4</f>
        <v>258120</v>
      </c>
      <c r="F14" s="100"/>
      <c r="I14" s="100"/>
      <c r="J14" s="100"/>
      <c r="K14" s="100"/>
    </row>
    <row r="15" spans="2:11" x14ac:dyDescent="0.35">
      <c r="B15" s="100" t="s">
        <v>14</v>
      </c>
      <c r="C15" s="100">
        <v>0</v>
      </c>
      <c r="F15" s="100"/>
      <c r="I15" s="100"/>
      <c r="J15" s="100"/>
      <c r="K15" s="100"/>
    </row>
    <row r="16" spans="2:11" x14ac:dyDescent="0.35">
      <c r="B16" s="100" t="s">
        <v>45</v>
      </c>
      <c r="C16" s="110">
        <f>C10*2%</f>
        <v>37313.64</v>
      </c>
      <c r="F16" s="100"/>
      <c r="I16" s="100"/>
      <c r="J16" s="100"/>
      <c r="K16" s="100"/>
    </row>
    <row r="17" spans="2:14" x14ac:dyDescent="0.35">
      <c r="B17" s="100" t="s">
        <v>16</v>
      </c>
      <c r="C17" s="100">
        <f>C10-C6-C12-C15-C16</f>
        <v>220806.36000000004</v>
      </c>
      <c r="F17" s="100"/>
      <c r="I17" s="100"/>
      <c r="J17" s="100"/>
      <c r="K17" s="100"/>
    </row>
    <row r="18" spans="2:14" x14ac:dyDescent="0.35">
      <c r="B18" s="100"/>
      <c r="C18" s="100"/>
      <c r="F18" s="100"/>
      <c r="I18" s="100"/>
      <c r="J18" s="100"/>
      <c r="K18" s="100"/>
    </row>
    <row r="19" spans="2:14" x14ac:dyDescent="0.35">
      <c r="B19" s="100" t="s">
        <v>17</v>
      </c>
      <c r="C19" s="100">
        <f>C14*0%</f>
        <v>0</v>
      </c>
      <c r="D19" s="111"/>
      <c r="E19" s="112"/>
      <c r="F19" s="113"/>
      <c r="I19" s="100"/>
      <c r="J19" s="100"/>
      <c r="K19" s="100"/>
    </row>
    <row r="20" spans="2:14" ht="15" thickBot="1" x14ac:dyDescent="0.4">
      <c r="B20" s="100"/>
      <c r="C20" s="100"/>
      <c r="D20" s="114"/>
      <c r="E20" s="114"/>
      <c r="F20" s="114"/>
      <c r="I20" s="100"/>
      <c r="J20" s="100"/>
    </row>
    <row r="21" spans="2:14" ht="15" thickBot="1" x14ac:dyDescent="0.4">
      <c r="B21" s="115" t="s">
        <v>18</v>
      </c>
      <c r="C21" s="116">
        <f>C17-C19-C18-C20</f>
        <v>220806.36000000004</v>
      </c>
      <c r="I21" s="100"/>
      <c r="J21" s="100"/>
    </row>
    <row r="22" spans="2:14" ht="15" thickBot="1" x14ac:dyDescent="0.4">
      <c r="B22" s="100"/>
      <c r="C22" s="100"/>
      <c r="I22" s="100"/>
      <c r="J22" s="100"/>
      <c r="K22" s="100"/>
      <c r="L22" s="100"/>
      <c r="M22" s="100"/>
      <c r="N22" s="100"/>
    </row>
    <row r="23" spans="2:14" ht="15" thickBot="1" x14ac:dyDescent="0.4">
      <c r="B23" s="115" t="s">
        <v>19</v>
      </c>
      <c r="C23" s="117">
        <f>C14*12.5%</f>
        <v>32265</v>
      </c>
      <c r="E23" s="118" t="s">
        <v>20</v>
      </c>
      <c r="F23" s="118" t="s">
        <v>21</v>
      </c>
      <c r="G23" s="106" t="s">
        <v>22</v>
      </c>
      <c r="I23" s="96"/>
      <c r="M23" s="100"/>
      <c r="N23" s="100"/>
    </row>
    <row r="24" spans="2:14" ht="15" thickBot="1" x14ac:dyDescent="0.4">
      <c r="B24" s="119"/>
      <c r="C24" s="112"/>
      <c r="I24" s="96"/>
      <c r="K24" s="120"/>
      <c r="L24" s="120"/>
      <c r="M24" s="100"/>
      <c r="N24" s="100"/>
    </row>
    <row r="25" spans="2:14" ht="15" thickBot="1" x14ac:dyDescent="0.4">
      <c r="B25" s="115" t="s">
        <v>23</v>
      </c>
      <c r="C25" s="117">
        <f>C21-C23</f>
        <v>188541.36000000004</v>
      </c>
      <c r="D25" s="118" t="s">
        <v>24</v>
      </c>
      <c r="E25" s="103">
        <f>C25*100/C8</f>
        <v>12.025855338691162</v>
      </c>
      <c r="F25" s="99" t="s">
        <v>25</v>
      </c>
      <c r="I25" s="96"/>
    </row>
    <row r="26" spans="2:14" ht="15" thickBot="1" x14ac:dyDescent="0.4">
      <c r="I26" s="96"/>
    </row>
    <row r="27" spans="2:14" ht="15" thickBot="1" x14ac:dyDescent="0.4">
      <c r="B27" s="115" t="s">
        <v>26</v>
      </c>
      <c r="C27" s="117">
        <f>C25*0%</f>
        <v>0</v>
      </c>
      <c r="D27" s="121" t="s">
        <v>27</v>
      </c>
      <c r="I27" s="96"/>
    </row>
    <row r="28" spans="2:14" ht="15" thickBot="1" x14ac:dyDescent="0.4">
      <c r="I28" s="96"/>
    </row>
    <row r="29" spans="2:14" ht="15" thickBot="1" x14ac:dyDescent="0.4">
      <c r="B29" s="115" t="s">
        <v>28</v>
      </c>
      <c r="C29" s="116">
        <f>C25-C27</f>
        <v>188541.36000000004</v>
      </c>
      <c r="I29" s="96"/>
    </row>
    <row r="30" spans="2:14" ht="15" thickBot="1" x14ac:dyDescent="0.4">
      <c r="B30" s="119"/>
      <c r="C30" s="108"/>
      <c r="I30" s="96"/>
    </row>
    <row r="31" spans="2:14" ht="15" thickBot="1" x14ac:dyDescent="0.4">
      <c r="B31" s="115" t="s">
        <v>29</v>
      </c>
      <c r="C31" s="116">
        <v>0</v>
      </c>
      <c r="I31" s="96"/>
    </row>
    <row r="32" spans="2:14" ht="15" thickBot="1" x14ac:dyDescent="0.4">
      <c r="B32" s="119"/>
      <c r="C32" s="112"/>
      <c r="I32" s="96"/>
    </row>
    <row r="33" spans="1:15" ht="15" thickBot="1" x14ac:dyDescent="0.4">
      <c r="B33" s="115" t="s">
        <v>157</v>
      </c>
      <c r="C33" s="116">
        <f>C29*25/100</f>
        <v>47135.340000000011</v>
      </c>
      <c r="I33" s="96"/>
    </row>
    <row r="34" spans="1:15" ht="15" thickBot="1" x14ac:dyDescent="0.4">
      <c r="B34" s="122"/>
      <c r="C34" s="108"/>
      <c r="F34" s="141" t="s">
        <v>162</v>
      </c>
      <c r="G34" s="142" t="s">
        <v>163</v>
      </c>
      <c r="I34" s="96"/>
    </row>
    <row r="35" spans="1:15" ht="15" thickBot="1" x14ac:dyDescent="0.4">
      <c r="B35" s="115" t="s">
        <v>31</v>
      </c>
      <c r="C35" s="116">
        <f>C29-C31-C33</f>
        <v>141406.02000000002</v>
      </c>
      <c r="D35" s="121" t="s">
        <v>27</v>
      </c>
      <c r="E35" s="112"/>
      <c r="F35" s="139">
        <f>C35*70%</f>
        <v>98984.214000000007</v>
      </c>
      <c r="G35" s="8">
        <f>C35*30%</f>
        <v>42421.806000000004</v>
      </c>
      <c r="H35" s="107"/>
      <c r="I35" s="96"/>
    </row>
    <row r="36" spans="1:15" ht="15" thickBot="1" x14ac:dyDescent="0.4">
      <c r="B36" s="122"/>
      <c r="C36" s="108"/>
      <c r="I36" s="96"/>
    </row>
    <row r="37" spans="1:15" ht="15" thickBot="1" x14ac:dyDescent="0.4">
      <c r="B37" s="157" t="s">
        <v>32</v>
      </c>
      <c r="C37" s="158"/>
      <c r="D37" s="158"/>
      <c r="E37" s="158"/>
      <c r="F37" s="158"/>
      <c r="G37" s="158"/>
      <c r="H37" s="159"/>
      <c r="I37" s="96"/>
    </row>
    <row r="38" spans="1:15" x14ac:dyDescent="0.35">
      <c r="A38" s="127"/>
      <c r="B38" s="128" t="s">
        <v>33</v>
      </c>
      <c r="C38" s="129" t="s">
        <v>34</v>
      </c>
      <c r="D38" s="129" t="s">
        <v>35</v>
      </c>
      <c r="E38" s="129" t="s">
        <v>36</v>
      </c>
      <c r="F38" s="130" t="s">
        <v>37</v>
      </c>
      <c r="G38" s="130" t="s">
        <v>38</v>
      </c>
      <c r="H38" s="130" t="s">
        <v>39</v>
      </c>
      <c r="I38" s="127"/>
      <c r="J38" s="127"/>
      <c r="K38" s="127"/>
      <c r="L38" s="127"/>
      <c r="M38" s="127"/>
      <c r="N38" s="127"/>
      <c r="O38" s="127"/>
    </row>
    <row r="39" spans="1:15" ht="16" customHeight="1" x14ac:dyDescent="0.35">
      <c r="B39" s="131" t="s">
        <v>100</v>
      </c>
      <c r="C39" s="132">
        <v>2</v>
      </c>
      <c r="D39" s="133">
        <v>335920</v>
      </c>
      <c r="E39" s="123">
        <f>D39/(1-20%)</f>
        <v>419900</v>
      </c>
      <c r="F39" s="134">
        <f>D39*C39</f>
        <v>671840</v>
      </c>
      <c r="G39" s="134">
        <f>E39*C39</f>
        <v>839800</v>
      </c>
      <c r="H39" s="134">
        <f>G39-F39</f>
        <v>167960</v>
      </c>
      <c r="I39" s="50"/>
    </row>
    <row r="40" spans="1:15" ht="16" customHeight="1" x14ac:dyDescent="0.35">
      <c r="B40" s="135" t="s">
        <v>101</v>
      </c>
      <c r="C40" s="132">
        <v>2</v>
      </c>
      <c r="D40" s="133">
        <v>283920</v>
      </c>
      <c r="E40" s="123">
        <f>D40/(1-22%)</f>
        <v>364000</v>
      </c>
      <c r="F40" s="134">
        <f>D40*C40</f>
        <v>567840</v>
      </c>
      <c r="G40" s="134">
        <f>E40*C40</f>
        <v>728000</v>
      </c>
      <c r="H40" s="134">
        <f>G40-F40</f>
        <v>160160</v>
      </c>
      <c r="I40" s="51"/>
    </row>
    <row r="41" spans="1:15" ht="16" customHeight="1" x14ac:dyDescent="0.35">
      <c r="B41" s="135"/>
      <c r="C41" s="132"/>
      <c r="D41" s="133"/>
      <c r="E41" s="123">
        <f>D41/(1-24%)</f>
        <v>0</v>
      </c>
      <c r="F41" s="134">
        <f>D41*C41</f>
        <v>0</v>
      </c>
      <c r="G41" s="134">
        <f>E41*C41</f>
        <v>0</v>
      </c>
      <c r="H41" s="134">
        <f>G41-F41</f>
        <v>0</v>
      </c>
      <c r="I41" s="51"/>
    </row>
    <row r="42" spans="1:15" x14ac:dyDescent="0.35">
      <c r="B42" s="135"/>
      <c r="C42" s="132"/>
      <c r="D42" s="133"/>
      <c r="E42" s="123">
        <f>D42/(1-40%)</f>
        <v>0</v>
      </c>
      <c r="F42" s="134">
        <f>D42*C42</f>
        <v>0</v>
      </c>
      <c r="G42" s="134">
        <f>E42*C42</f>
        <v>0</v>
      </c>
      <c r="H42" s="134">
        <f>G42-F42</f>
        <v>0</v>
      </c>
      <c r="I42" s="51"/>
    </row>
    <row r="43" spans="1:15" x14ac:dyDescent="0.35">
      <c r="B43" s="135"/>
      <c r="C43" s="132"/>
      <c r="D43" s="133"/>
      <c r="E43" s="123">
        <f>D43/(1-30%)</f>
        <v>0</v>
      </c>
      <c r="F43" s="134">
        <f>D43*C43</f>
        <v>0</v>
      </c>
      <c r="G43" s="134">
        <f>E43*C43</f>
        <v>0</v>
      </c>
      <c r="H43" s="134">
        <f>G43-F43</f>
        <v>0</v>
      </c>
      <c r="I43" s="51"/>
    </row>
    <row r="44" spans="1:15" x14ac:dyDescent="0.35">
      <c r="D44" s="124"/>
      <c r="E44" s="99" t="s">
        <v>41</v>
      </c>
      <c r="F44" s="125">
        <f>SUM(F39:F43)</f>
        <v>1239680</v>
      </c>
      <c r="G44" s="125">
        <f>SUM(G39:G43)</f>
        <v>1567800</v>
      </c>
      <c r="H44" s="125">
        <f>SUM(H39:H43)</f>
        <v>328120</v>
      </c>
      <c r="I44" s="96"/>
    </row>
    <row r="45" spans="1:15" x14ac:dyDescent="0.35">
      <c r="B45" s="107" t="s">
        <v>12</v>
      </c>
      <c r="I45" s="96"/>
    </row>
    <row r="46" spans="1:15" x14ac:dyDescent="0.35">
      <c r="I46" s="96"/>
    </row>
    <row r="47" spans="1:15" x14ac:dyDescent="0.35">
      <c r="C47" s="126"/>
      <c r="I47" s="96"/>
    </row>
    <row r="48" spans="1:15" x14ac:dyDescent="0.35">
      <c r="D48" s="126"/>
      <c r="I48" s="96"/>
    </row>
    <row r="49" spans="9:9" x14ac:dyDescent="0.35">
      <c r="I49" s="96"/>
    </row>
  </sheetData>
  <mergeCells count="6">
    <mergeCell ref="B37:H37"/>
    <mergeCell ref="I2:K2"/>
    <mergeCell ref="B2:C2"/>
    <mergeCell ref="E2:F2"/>
    <mergeCell ref="B3:C3"/>
    <mergeCell ref="E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1ECDA-7246-4206-9E03-20CBFE9E5184}">
  <sheetPr codeName="Hoja24"/>
  <dimension ref="B1:N51"/>
  <sheetViews>
    <sheetView zoomScale="85" zoomScaleNormal="85" workbookViewId="0">
      <selection activeCell="I2" sqref="I2:K7"/>
    </sheetView>
  </sheetViews>
  <sheetFormatPr baseColWidth="10" defaultColWidth="12.453125" defaultRowHeight="14.5" x14ac:dyDescent="0.35"/>
  <cols>
    <col min="1" max="1" width="4" style="1" customWidth="1"/>
    <col min="2" max="2" width="104.54296875" style="1" bestFit="1" customWidth="1"/>
    <col min="3" max="3" width="24.54296875" style="1" bestFit="1" customWidth="1"/>
    <col min="4" max="4" width="13.54296875" style="1" customWidth="1"/>
    <col min="5" max="6" width="17.81640625" style="1" customWidth="1"/>
    <col min="7" max="7" width="19.453125" style="2" customWidth="1"/>
    <col min="8" max="8" width="19.453125" style="1" customWidth="1"/>
    <col min="9" max="9" width="29.54296875" style="76" bestFit="1" customWidth="1"/>
    <col min="10" max="10" width="12.08984375" style="1" bestFit="1" customWidth="1"/>
    <col min="11" max="11" width="30.26953125" style="1" bestFit="1" customWidth="1"/>
    <col min="12" max="16384" width="12.453125" style="1"/>
  </cols>
  <sheetData>
    <row r="1" spans="2:11" ht="15" thickBot="1" x14ac:dyDescent="0.4">
      <c r="I1" s="1"/>
    </row>
    <row r="2" spans="2:11" ht="15" customHeight="1" thickBot="1" x14ac:dyDescent="0.4">
      <c r="B2" s="143" t="s">
        <v>178</v>
      </c>
      <c r="C2" s="144"/>
      <c r="E2" s="145"/>
      <c r="F2" s="145"/>
      <c r="I2" s="155" t="s">
        <v>49</v>
      </c>
      <c r="J2" s="155"/>
      <c r="K2" s="155"/>
    </row>
    <row r="3" spans="2:11" ht="15" thickBot="1" x14ac:dyDescent="0.4">
      <c r="B3" s="146" t="s">
        <v>179</v>
      </c>
      <c r="C3" s="147"/>
      <c r="D3" s="3"/>
      <c r="E3" s="145"/>
      <c r="F3" s="145"/>
      <c r="H3" s="3"/>
      <c r="I3" s="136" t="s">
        <v>58</v>
      </c>
      <c r="J3" s="136" t="s">
        <v>59</v>
      </c>
      <c r="K3" s="136" t="s">
        <v>50</v>
      </c>
    </row>
    <row r="4" spans="2:11" x14ac:dyDescent="0.35">
      <c r="B4" s="4" t="s">
        <v>0</v>
      </c>
      <c r="C4" s="4">
        <f>F44</f>
        <v>588696</v>
      </c>
      <c r="I4" s="1" t="s">
        <v>169</v>
      </c>
      <c r="J4" s="4">
        <v>583800</v>
      </c>
      <c r="K4" s="82" t="s">
        <v>168</v>
      </c>
    </row>
    <row r="5" spans="2:11" ht="15" thickBot="1" x14ac:dyDescent="0.4">
      <c r="B5" s="4" t="s">
        <v>1</v>
      </c>
      <c r="C5" s="6">
        <f>C4*19%</f>
        <v>111852.24</v>
      </c>
      <c r="E5" s="3" t="s">
        <v>2</v>
      </c>
      <c r="I5" s="1" t="s">
        <v>171</v>
      </c>
      <c r="J5" s="4">
        <v>47291</v>
      </c>
      <c r="K5" s="82" t="s">
        <v>172</v>
      </c>
    </row>
    <row r="6" spans="2:11" ht="15" thickTop="1" x14ac:dyDescent="0.35">
      <c r="B6" s="7" t="s">
        <v>3</v>
      </c>
      <c r="C6" s="8">
        <f>SUM(C4:C5)</f>
        <v>700548.24</v>
      </c>
      <c r="I6" s="1" t="s">
        <v>173</v>
      </c>
      <c r="J6" s="4">
        <v>130674</v>
      </c>
      <c r="K6" s="82" t="s">
        <v>175</v>
      </c>
    </row>
    <row r="7" spans="2:11" x14ac:dyDescent="0.35">
      <c r="B7" s="4"/>
      <c r="C7" s="4"/>
      <c r="I7" s="1" t="s">
        <v>174</v>
      </c>
      <c r="J7" s="100">
        <v>87116</v>
      </c>
      <c r="K7" s="140" t="s">
        <v>176</v>
      </c>
    </row>
    <row r="8" spans="2:11" x14ac:dyDescent="0.35">
      <c r="B8" s="4" t="s">
        <v>4</v>
      </c>
      <c r="C8" s="4">
        <f>G44</f>
        <v>837600</v>
      </c>
      <c r="I8" s="96"/>
      <c r="J8" s="100"/>
      <c r="K8" s="140"/>
    </row>
    <row r="9" spans="2:11" ht="15" thickBot="1" x14ac:dyDescent="0.4">
      <c r="B9" s="4" t="s">
        <v>5</v>
      </c>
      <c r="C9" s="6">
        <f>C8*19%</f>
        <v>159144</v>
      </c>
      <c r="E9" s="9" t="s">
        <v>6</v>
      </c>
      <c r="F9" s="10"/>
      <c r="G9" s="11"/>
      <c r="H9" s="12"/>
      <c r="I9" s="4"/>
      <c r="J9" s="100"/>
      <c r="K9" s="140"/>
    </row>
    <row r="10" spans="2:11" ht="15" thickTop="1" x14ac:dyDescent="0.35">
      <c r="B10" s="8" t="s">
        <v>7</v>
      </c>
      <c r="C10" s="8">
        <f>C8+C9</f>
        <v>996744</v>
      </c>
      <c r="E10" s="12"/>
      <c r="F10" s="12"/>
      <c r="H10" s="13"/>
      <c r="I10" s="4"/>
      <c r="J10" s="4"/>
      <c r="K10" s="4"/>
    </row>
    <row r="11" spans="2:11" x14ac:dyDescent="0.35">
      <c r="B11" s="4"/>
      <c r="C11" s="4"/>
      <c r="E11" s="12"/>
      <c r="I11" s="4"/>
      <c r="J11" s="4"/>
      <c r="K11" s="4"/>
    </row>
    <row r="12" spans="2:11" x14ac:dyDescent="0.35">
      <c r="B12" s="7" t="s">
        <v>8</v>
      </c>
      <c r="C12" s="4">
        <f>C9-C5</f>
        <v>47291.759999999995</v>
      </c>
      <c r="E12" s="13" t="s">
        <v>9</v>
      </c>
      <c r="F12" s="8" t="s">
        <v>10</v>
      </c>
      <c r="G12" s="14" t="s">
        <v>11</v>
      </c>
      <c r="I12" s="1" t="s">
        <v>170</v>
      </c>
      <c r="J12" s="4">
        <v>654959</v>
      </c>
      <c r="K12" s="82" t="s">
        <v>168</v>
      </c>
    </row>
    <row r="13" spans="2:11" x14ac:dyDescent="0.35">
      <c r="B13" s="4"/>
      <c r="C13" s="4"/>
      <c r="D13" s="1" t="s">
        <v>12</v>
      </c>
      <c r="E13" s="12"/>
      <c r="F13" s="4"/>
      <c r="I13" s="165" t="s">
        <v>177</v>
      </c>
      <c r="J13" s="165"/>
      <c r="K13" s="165"/>
    </row>
    <row r="14" spans="2:11" x14ac:dyDescent="0.35">
      <c r="B14" s="4" t="s">
        <v>13</v>
      </c>
      <c r="C14" s="4">
        <f>C8-C4</f>
        <v>248904</v>
      </c>
      <c r="F14" s="4"/>
      <c r="I14" s="4"/>
      <c r="J14" s="4"/>
      <c r="K14" s="4"/>
    </row>
    <row r="15" spans="2:11" x14ac:dyDescent="0.35">
      <c r="B15" s="4" t="s">
        <v>14</v>
      </c>
      <c r="C15" s="4"/>
      <c r="F15" s="4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F16" s="4"/>
      <c r="I16" s="4"/>
      <c r="J16" s="4"/>
      <c r="K16" s="4"/>
    </row>
    <row r="17" spans="2:14" x14ac:dyDescent="0.35">
      <c r="B17" s="4" t="s">
        <v>16</v>
      </c>
      <c r="C17" s="4">
        <f>C10-C6-C12-C15-C16</f>
        <v>248904</v>
      </c>
      <c r="F17" s="4"/>
      <c r="I17" s="4"/>
      <c r="J17" s="4"/>
      <c r="K17" s="4"/>
    </row>
    <row r="18" spans="2:14" x14ac:dyDescent="0.35">
      <c r="B18" s="4"/>
      <c r="C18" s="4"/>
      <c r="F18" s="4"/>
      <c r="I18" s="4"/>
      <c r="J18" s="4"/>
      <c r="K18" s="4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I19" s="4"/>
      <c r="J19" s="4"/>
      <c r="K19" s="4"/>
    </row>
    <row r="20" spans="2:14" ht="15" thickBot="1" x14ac:dyDescent="0.4">
      <c r="B20" s="4"/>
      <c r="C20" s="4"/>
      <c r="D20" s="18"/>
      <c r="E20" s="18"/>
      <c r="F20" s="18"/>
      <c r="I20" s="4"/>
      <c r="J20" s="4"/>
    </row>
    <row r="21" spans="2:14" ht="15" thickBot="1" x14ac:dyDescent="0.4">
      <c r="B21" s="19" t="s">
        <v>18</v>
      </c>
      <c r="C21" s="20">
        <f>C17-C19-C18-C20</f>
        <v>248904</v>
      </c>
      <c r="I21" s="4"/>
      <c r="J21" s="4"/>
    </row>
    <row r="22" spans="2:14" ht="15" thickBot="1" x14ac:dyDescent="0.4">
      <c r="B22" s="4"/>
      <c r="C22" s="4"/>
      <c r="I22" s="4"/>
      <c r="J22" s="4"/>
      <c r="K22" s="4"/>
      <c r="L22" s="4"/>
      <c r="M22" s="4"/>
      <c r="N22" s="4"/>
    </row>
    <row r="23" spans="2:14" ht="15" thickBot="1" x14ac:dyDescent="0.4">
      <c r="B23" s="19" t="s">
        <v>19</v>
      </c>
      <c r="C23" s="21">
        <f>C14*12.5%</f>
        <v>31113</v>
      </c>
      <c r="E23" s="136" t="s">
        <v>20</v>
      </c>
      <c r="F23" s="136" t="s">
        <v>21</v>
      </c>
      <c r="G23" s="11" t="s">
        <v>22</v>
      </c>
      <c r="I23" s="1"/>
      <c r="M23" s="4"/>
      <c r="N23" s="4"/>
    </row>
    <row r="24" spans="2:14" ht="15" thickBot="1" x14ac:dyDescent="0.4">
      <c r="B24" s="52"/>
      <c r="C24" s="16"/>
      <c r="I24" s="1"/>
      <c r="K24" s="53"/>
      <c r="L24" s="53"/>
      <c r="M24" s="4"/>
      <c r="N24" s="4"/>
    </row>
    <row r="25" spans="2:14" ht="15" thickBot="1" x14ac:dyDescent="0.4">
      <c r="B25" s="19" t="s">
        <v>23</v>
      </c>
      <c r="C25" s="21">
        <f>C21-C23</f>
        <v>217791</v>
      </c>
      <c r="D25" s="136" t="s">
        <v>24</v>
      </c>
      <c r="E25" s="8">
        <f>C25*100/C8</f>
        <v>26.001790830945559</v>
      </c>
      <c r="F25" s="3" t="s">
        <v>25</v>
      </c>
      <c r="I25" s="1"/>
    </row>
    <row r="26" spans="2:14" ht="15" thickBot="1" x14ac:dyDescent="0.4">
      <c r="I26" s="1"/>
    </row>
    <row r="27" spans="2:14" ht="15" thickBot="1" x14ac:dyDescent="0.4">
      <c r="B27" s="19" t="s">
        <v>26</v>
      </c>
      <c r="C27" s="21">
        <f>C25*0%</f>
        <v>0</v>
      </c>
      <c r="D27" s="33" t="s">
        <v>27</v>
      </c>
      <c r="I27" s="1"/>
    </row>
    <row r="28" spans="2:14" ht="15" thickBot="1" x14ac:dyDescent="0.4">
      <c r="I28" s="1"/>
    </row>
    <row r="29" spans="2:14" ht="15" thickBot="1" x14ac:dyDescent="0.4">
      <c r="B29" s="19" t="s">
        <v>28</v>
      </c>
      <c r="C29" s="20">
        <f>C25-C27</f>
        <v>217791</v>
      </c>
      <c r="I29" s="1"/>
    </row>
    <row r="30" spans="2:14" ht="15" thickBot="1" x14ac:dyDescent="0.4">
      <c r="B30" s="52"/>
      <c r="C30" s="13"/>
      <c r="I30" s="1"/>
    </row>
    <row r="31" spans="2:14" ht="15" thickBot="1" x14ac:dyDescent="0.4">
      <c r="B31" s="19" t="s">
        <v>29</v>
      </c>
      <c r="C31" s="20">
        <v>0</v>
      </c>
      <c r="F31" s="4"/>
      <c r="I31" s="1"/>
    </row>
    <row r="32" spans="2:14" ht="15" thickBot="1" x14ac:dyDescent="0.4">
      <c r="B32" s="52"/>
      <c r="C32" s="16"/>
      <c r="F32" s="4"/>
      <c r="I32" s="1"/>
    </row>
    <row r="33" spans="2:9" ht="15" thickBot="1" x14ac:dyDescent="0.4">
      <c r="B33" s="19" t="s">
        <v>30</v>
      </c>
      <c r="C33" s="20">
        <f>C29*40/100</f>
        <v>87116.4</v>
      </c>
      <c r="F33" s="4"/>
      <c r="I33" s="1"/>
    </row>
    <row r="34" spans="2:9" ht="15" thickBot="1" x14ac:dyDescent="0.4">
      <c r="B34" s="23"/>
      <c r="C34" s="13"/>
      <c r="F34" s="4"/>
      <c r="I34" s="1"/>
    </row>
    <row r="35" spans="2:9" ht="15" thickBot="1" x14ac:dyDescent="0.4">
      <c r="B35" s="19" t="s">
        <v>31</v>
      </c>
      <c r="C35" s="20">
        <f>C29-C31-C33</f>
        <v>130674.6</v>
      </c>
      <c r="D35" s="33" t="s">
        <v>27</v>
      </c>
      <c r="E35" s="16"/>
      <c r="F35" s="16"/>
      <c r="H35" s="12"/>
      <c r="I35" s="1"/>
    </row>
    <row r="36" spans="2:9" ht="15" thickBot="1" x14ac:dyDescent="0.4">
      <c r="B36" s="23"/>
      <c r="C36" s="13"/>
      <c r="I36" s="1"/>
    </row>
    <row r="37" spans="2:9" ht="15" thickBot="1" x14ac:dyDescent="0.4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24" t="s">
        <v>33</v>
      </c>
      <c r="C38" s="25" t="s">
        <v>34</v>
      </c>
      <c r="D38" s="25" t="s">
        <v>35</v>
      </c>
      <c r="E38" s="26" t="s">
        <v>36</v>
      </c>
      <c r="F38" s="26" t="s">
        <v>37</v>
      </c>
      <c r="G38" s="26" t="s">
        <v>38</v>
      </c>
      <c r="H38" s="27" t="s">
        <v>39</v>
      </c>
      <c r="I38" s="1"/>
    </row>
    <row r="39" spans="2:9" ht="16" customHeight="1" x14ac:dyDescent="0.35">
      <c r="B39" s="94" t="s">
        <v>138</v>
      </c>
      <c r="C39" s="95">
        <v>24</v>
      </c>
      <c r="D39" s="54">
        <v>24529</v>
      </c>
      <c r="E39" s="77">
        <v>34900</v>
      </c>
      <c r="F39" s="29">
        <f t="shared" ref="F39:F43" si="0">D39*C39</f>
        <v>588696</v>
      </c>
      <c r="G39" s="29">
        <f t="shared" ref="G39:G43" si="1">E39*C39</f>
        <v>837600</v>
      </c>
      <c r="H39" s="29">
        <f t="shared" ref="H39:H43" si="2">G39-F39</f>
        <v>248904</v>
      </c>
      <c r="I39" s="59"/>
    </row>
    <row r="40" spans="2:9" ht="16" customHeight="1" x14ac:dyDescent="0.35">
      <c r="B40" s="89"/>
      <c r="C40" s="91"/>
      <c r="D40" s="92">
        <v>0</v>
      </c>
      <c r="E40" s="93">
        <v>0</v>
      </c>
      <c r="F40" s="55">
        <f t="shared" si="0"/>
        <v>0</v>
      </c>
      <c r="G40" s="55">
        <f t="shared" si="1"/>
        <v>0</v>
      </c>
      <c r="H40" s="55">
        <f t="shared" si="2"/>
        <v>0</v>
      </c>
      <c r="I40" s="59"/>
    </row>
    <row r="41" spans="2:9" ht="16" customHeight="1" x14ac:dyDescent="0.35">
      <c r="B41" s="66"/>
      <c r="C41" s="60"/>
      <c r="D41" s="54"/>
      <c r="E41" s="77">
        <f t="shared" ref="E41:E42" si="3">D41/(1-30%)</f>
        <v>0</v>
      </c>
      <c r="F41" s="55">
        <f t="shared" si="0"/>
        <v>0</v>
      </c>
      <c r="G41" s="55">
        <f t="shared" si="1"/>
        <v>0</v>
      </c>
      <c r="H41" s="55">
        <f t="shared" si="2"/>
        <v>0</v>
      </c>
      <c r="I41" s="59"/>
    </row>
    <row r="42" spans="2:9" x14ac:dyDescent="0.35">
      <c r="B42" s="58"/>
      <c r="C42" s="61"/>
      <c r="D42" s="54"/>
      <c r="E42" s="77">
        <f t="shared" si="3"/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1"/>
    </row>
    <row r="43" spans="2:9" x14ac:dyDescent="0.35">
      <c r="B43" s="58"/>
      <c r="C43" s="61"/>
      <c r="D43" s="54"/>
      <c r="E43" s="77">
        <f t="shared" ref="E43" si="4">D43/(1-24%)</f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D44" s="30"/>
      <c r="E44" s="3" t="s">
        <v>41</v>
      </c>
      <c r="F44" s="31">
        <f>SUM(F39:F43)</f>
        <v>588696</v>
      </c>
      <c r="G44" s="31">
        <f>SUM(G39:G43)</f>
        <v>837600</v>
      </c>
      <c r="H44" s="31">
        <f>SUM(H39:H43)</f>
        <v>248904</v>
      </c>
      <c r="I44" s="1"/>
    </row>
    <row r="45" spans="2:9" x14ac:dyDescent="0.35">
      <c r="B45" s="12" t="s">
        <v>12</v>
      </c>
      <c r="I45" s="1"/>
    </row>
    <row r="46" spans="2:9" x14ac:dyDescent="0.35">
      <c r="C46" s="65"/>
      <c r="I46" s="1"/>
    </row>
    <row r="47" spans="2:9" x14ac:dyDescent="0.35">
      <c r="C47" s="65"/>
      <c r="I47" s="1"/>
    </row>
    <row r="48" spans="2:9" x14ac:dyDescent="0.35">
      <c r="D48" s="65"/>
      <c r="I48" s="1"/>
    </row>
    <row r="49" spans="2:9" x14ac:dyDescent="0.35">
      <c r="I49" s="1"/>
    </row>
    <row r="50" spans="2:9" x14ac:dyDescent="0.35">
      <c r="B50" s="12" t="s">
        <v>12</v>
      </c>
    </row>
    <row r="51" spans="2:9" x14ac:dyDescent="0.35">
      <c r="C51" s="65"/>
    </row>
  </sheetData>
  <mergeCells count="7">
    <mergeCell ref="B37:H37"/>
    <mergeCell ref="I2:K2"/>
    <mergeCell ref="I13:K13"/>
    <mergeCell ref="B2:C2"/>
    <mergeCell ref="E2:F2"/>
    <mergeCell ref="B3:C3"/>
    <mergeCell ref="E3:F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91D0E-5D1B-4FE1-A8C3-561E8D3173A1}">
  <sheetPr codeName="Hoja28"/>
  <dimension ref="B1:N49"/>
  <sheetViews>
    <sheetView tabSelected="1" topLeftCell="A13" zoomScale="85" zoomScaleNormal="85" workbookViewId="0">
      <selection activeCell="B49" sqref="B49"/>
    </sheetView>
  </sheetViews>
  <sheetFormatPr baseColWidth="10" defaultColWidth="12.453125" defaultRowHeight="14.5" x14ac:dyDescent="0.35"/>
  <cols>
    <col min="1" max="1" width="4.81640625" style="1" customWidth="1"/>
    <col min="2" max="2" width="104.54296875" style="1" bestFit="1" customWidth="1"/>
    <col min="3" max="3" width="24.54296875" style="1" bestFit="1" customWidth="1"/>
    <col min="4" max="4" width="13.54296875" style="1" customWidth="1"/>
    <col min="5" max="6" width="17.81640625" style="1" customWidth="1"/>
    <col min="7" max="7" width="19.453125" style="2" customWidth="1"/>
    <col min="8" max="8" width="19.453125" style="1" customWidth="1"/>
    <col min="9" max="9" width="75.54296875" style="76" bestFit="1" customWidth="1"/>
    <col min="10" max="10" width="9.1796875" style="1" bestFit="1" customWidth="1"/>
    <col min="11" max="11" width="13" style="1" bestFit="1" customWidth="1"/>
    <col min="12" max="16384" width="12.453125" style="1"/>
  </cols>
  <sheetData>
    <row r="1" spans="2:11" ht="15" thickBot="1" x14ac:dyDescent="0.4">
      <c r="I1" s="1"/>
    </row>
    <row r="2" spans="2:11" ht="15" customHeight="1" thickBot="1" x14ac:dyDescent="0.4">
      <c r="B2" s="143" t="s">
        <v>140</v>
      </c>
      <c r="C2" s="144"/>
      <c r="E2" s="145"/>
      <c r="F2" s="145"/>
      <c r="I2" s="1"/>
    </row>
    <row r="3" spans="2:11" ht="15" thickBot="1" x14ac:dyDescent="0.4">
      <c r="B3" s="146" t="s">
        <v>141</v>
      </c>
      <c r="C3" s="147"/>
      <c r="D3" s="3"/>
      <c r="E3" s="145"/>
      <c r="F3" s="145"/>
      <c r="H3" s="3"/>
      <c r="I3" s="1"/>
    </row>
    <row r="4" spans="2:11" x14ac:dyDescent="0.35">
      <c r="B4" s="4" t="s">
        <v>0</v>
      </c>
      <c r="C4" s="4">
        <f>F44</f>
        <v>3599000</v>
      </c>
      <c r="I4" s="1"/>
      <c r="K4" s="4"/>
    </row>
    <row r="5" spans="2:11" ht="15" thickBot="1" x14ac:dyDescent="0.4">
      <c r="B5" s="4" t="s">
        <v>1</v>
      </c>
      <c r="C5" s="6">
        <f>C4*19%</f>
        <v>683810</v>
      </c>
      <c r="E5" s="3" t="s">
        <v>2</v>
      </c>
      <c r="I5" s="1"/>
      <c r="K5" s="4"/>
    </row>
    <row r="6" spans="2:11" ht="15" thickTop="1" x14ac:dyDescent="0.35">
      <c r="B6" s="7" t="s">
        <v>3</v>
      </c>
      <c r="C6" s="8">
        <f>SUM(C4:C5)</f>
        <v>4282810</v>
      </c>
      <c r="I6" s="1"/>
      <c r="K6" s="4"/>
    </row>
    <row r="7" spans="2:11" x14ac:dyDescent="0.35">
      <c r="B7" s="4"/>
      <c r="C7" s="4"/>
      <c r="I7" s="1"/>
      <c r="K7" s="4"/>
    </row>
    <row r="8" spans="2:11" x14ac:dyDescent="0.35">
      <c r="B8" s="4" t="s">
        <v>4</v>
      </c>
      <c r="C8" s="4">
        <f>G44</f>
        <v>4481920.7317073168</v>
      </c>
      <c r="I8" s="1"/>
      <c r="K8" s="4"/>
    </row>
    <row r="9" spans="2:11" ht="15" thickBot="1" x14ac:dyDescent="0.4">
      <c r="B9" s="4" t="s">
        <v>5</v>
      </c>
      <c r="C9" s="6">
        <f>C8*19%</f>
        <v>851564.93902439019</v>
      </c>
      <c r="E9" s="9" t="s">
        <v>6</v>
      </c>
      <c r="F9" s="10"/>
      <c r="G9" s="11"/>
      <c r="H9" s="12"/>
      <c r="I9" s="4"/>
      <c r="J9" s="4"/>
      <c r="K9" s="4"/>
    </row>
    <row r="10" spans="2:11" ht="15" thickTop="1" x14ac:dyDescent="0.35">
      <c r="B10" s="8" t="s">
        <v>7</v>
      </c>
      <c r="C10" s="8">
        <f>C8+C9</f>
        <v>5333485.6707317065</v>
      </c>
      <c r="E10" s="12"/>
      <c r="F10" s="12"/>
      <c r="H10" s="13"/>
      <c r="I10" s="4"/>
      <c r="J10" s="4"/>
      <c r="K10" s="4"/>
    </row>
    <row r="11" spans="2:11" x14ac:dyDescent="0.35">
      <c r="B11" s="4"/>
      <c r="C11" s="4"/>
      <c r="E11" s="12"/>
      <c r="I11" s="4"/>
      <c r="J11" s="4"/>
      <c r="K11" s="4"/>
    </row>
    <row r="12" spans="2:11" x14ac:dyDescent="0.35">
      <c r="B12" s="7" t="s">
        <v>8</v>
      </c>
      <c r="C12" s="4">
        <f>C9-C5</f>
        <v>167754.93902439019</v>
      </c>
      <c r="E12" s="13" t="s">
        <v>9</v>
      </c>
      <c r="F12" s="8" t="s">
        <v>10</v>
      </c>
      <c r="G12" s="14" t="s">
        <v>11</v>
      </c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I13" s="4"/>
      <c r="J13" s="4"/>
      <c r="K13" s="4"/>
    </row>
    <row r="14" spans="2:11" x14ac:dyDescent="0.35">
      <c r="B14" s="4" t="s">
        <v>13</v>
      </c>
      <c r="C14" s="4">
        <f>C8-C4</f>
        <v>882920.73170731682</v>
      </c>
      <c r="F14" s="4"/>
      <c r="I14" s="4"/>
      <c r="J14" s="4"/>
      <c r="K14" s="4"/>
    </row>
    <row r="15" spans="2:11" x14ac:dyDescent="0.35">
      <c r="B15" s="4" t="s">
        <v>14</v>
      </c>
      <c r="C15" s="4"/>
      <c r="F15" s="4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F16" s="4"/>
      <c r="I16" s="4"/>
      <c r="J16" s="4"/>
      <c r="K16" s="4"/>
    </row>
    <row r="17" spans="2:14" x14ac:dyDescent="0.35">
      <c r="B17" s="4" t="s">
        <v>16</v>
      </c>
      <c r="C17" s="4">
        <f>C10-C6-C12-C15-C16</f>
        <v>882920.73170731636</v>
      </c>
      <c r="F17" s="4"/>
      <c r="I17" s="4"/>
      <c r="J17" s="4"/>
      <c r="K17" s="4"/>
    </row>
    <row r="18" spans="2:14" x14ac:dyDescent="0.35">
      <c r="B18" s="4"/>
      <c r="C18" s="4"/>
      <c r="F18" s="4"/>
      <c r="I18" s="4"/>
      <c r="J18" s="4"/>
      <c r="K18" s="4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I19" s="4"/>
      <c r="J19" s="4"/>
      <c r="K19" s="4"/>
    </row>
    <row r="20" spans="2:14" ht="15" thickBot="1" x14ac:dyDescent="0.4">
      <c r="B20" s="4"/>
      <c r="C20" s="4"/>
      <c r="D20" s="18"/>
      <c r="E20" s="18"/>
      <c r="F20" s="18"/>
      <c r="I20" s="4"/>
      <c r="J20" s="4"/>
    </row>
    <row r="21" spans="2:14" ht="15" thickBot="1" x14ac:dyDescent="0.4">
      <c r="B21" s="19" t="s">
        <v>18</v>
      </c>
      <c r="C21" s="20">
        <f>C17-C19-C18-C20</f>
        <v>882920.73170731636</v>
      </c>
      <c r="I21" s="4"/>
      <c r="J21" s="4"/>
    </row>
    <row r="22" spans="2:14" ht="15" thickBot="1" x14ac:dyDescent="0.4">
      <c r="B22" s="4"/>
      <c r="C22" s="4"/>
      <c r="I22" s="4"/>
      <c r="J22" s="4"/>
      <c r="K22" s="4"/>
      <c r="L22" s="4"/>
      <c r="M22" s="4"/>
      <c r="N22" s="4"/>
    </row>
    <row r="23" spans="2:14" ht="15" thickBot="1" x14ac:dyDescent="0.4">
      <c r="B23" s="19" t="s">
        <v>19</v>
      </c>
      <c r="C23" s="21">
        <f>C14*12.5%</f>
        <v>110365.0914634146</v>
      </c>
      <c r="E23" s="136" t="s">
        <v>20</v>
      </c>
      <c r="F23" s="136" t="s">
        <v>21</v>
      </c>
      <c r="G23" s="11" t="s">
        <v>22</v>
      </c>
      <c r="I23" s="1"/>
      <c r="M23" s="4"/>
      <c r="N23" s="4"/>
    </row>
    <row r="24" spans="2:14" ht="15" thickBot="1" x14ac:dyDescent="0.4">
      <c r="B24" s="52"/>
      <c r="C24" s="16"/>
      <c r="I24" s="1"/>
      <c r="K24" s="53"/>
      <c r="L24" s="53"/>
      <c r="M24" s="4"/>
      <c r="N24" s="4"/>
    </row>
    <row r="25" spans="2:14" ht="15" thickBot="1" x14ac:dyDescent="0.4">
      <c r="B25" s="19" t="s">
        <v>23</v>
      </c>
      <c r="C25" s="21">
        <f>C21-C23</f>
        <v>772555.64024390175</v>
      </c>
      <c r="D25" s="136" t="s">
        <v>24</v>
      </c>
      <c r="E25" s="8">
        <f>C25*100/C8</f>
        <v>17.237155373553627</v>
      </c>
      <c r="F25" s="3" t="s">
        <v>25</v>
      </c>
      <c r="I25" s="1"/>
    </row>
    <row r="26" spans="2:14" ht="15" thickBot="1" x14ac:dyDescent="0.4">
      <c r="I26" s="1"/>
    </row>
    <row r="27" spans="2:14" ht="15" thickBot="1" x14ac:dyDescent="0.4">
      <c r="B27" s="19" t="s">
        <v>26</v>
      </c>
      <c r="C27" s="21">
        <f>C25*0%</f>
        <v>0</v>
      </c>
      <c r="D27" s="33" t="s">
        <v>27</v>
      </c>
      <c r="I27" s="1"/>
    </row>
    <row r="28" spans="2:14" ht="15" thickBot="1" x14ac:dyDescent="0.4">
      <c r="I28" s="1"/>
    </row>
    <row r="29" spans="2:14" ht="15" thickBot="1" x14ac:dyDescent="0.4">
      <c r="B29" s="19" t="s">
        <v>28</v>
      </c>
      <c r="C29" s="20">
        <f>C25-C27</f>
        <v>772555.64024390175</v>
      </c>
      <c r="I29" s="1"/>
    </row>
    <row r="30" spans="2:14" ht="15" thickBot="1" x14ac:dyDescent="0.4">
      <c r="B30" s="52"/>
      <c r="C30" s="13"/>
      <c r="I30" s="1"/>
    </row>
    <row r="31" spans="2:14" ht="15" thickBot="1" x14ac:dyDescent="0.4">
      <c r="B31" s="19" t="s">
        <v>29</v>
      </c>
      <c r="C31" s="20">
        <v>0</v>
      </c>
      <c r="I31" s="1"/>
    </row>
    <row r="32" spans="2:14" ht="15" thickBot="1" x14ac:dyDescent="0.4">
      <c r="B32" s="52"/>
      <c r="C32" s="16"/>
      <c r="I32" s="1"/>
    </row>
    <row r="33" spans="2:9" ht="15" thickBot="1" x14ac:dyDescent="0.4">
      <c r="B33" s="19" t="s">
        <v>30</v>
      </c>
      <c r="C33" s="20">
        <f>C29*25/100</f>
        <v>193138.91006097544</v>
      </c>
      <c r="I33" s="1"/>
    </row>
    <row r="34" spans="2:9" ht="15" thickBot="1" x14ac:dyDescent="0.4">
      <c r="B34" s="23"/>
      <c r="C34" s="13"/>
      <c r="I34" s="1"/>
    </row>
    <row r="35" spans="2:9" ht="15" thickBot="1" x14ac:dyDescent="0.4">
      <c r="B35" s="19" t="s">
        <v>31</v>
      </c>
      <c r="C35" s="20">
        <f>C29-C31-C33</f>
        <v>579416.73018292629</v>
      </c>
      <c r="D35" s="33" t="s">
        <v>27</v>
      </c>
      <c r="E35" s="16"/>
      <c r="F35" s="16"/>
      <c r="H35" s="12"/>
      <c r="I35" s="1"/>
    </row>
    <row r="36" spans="2:9" ht="15" thickBot="1" x14ac:dyDescent="0.4">
      <c r="B36" s="23"/>
      <c r="C36" s="13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1"/>
    </row>
    <row r="39" spans="2:9" ht="16" customHeight="1" x14ac:dyDescent="0.35">
      <c r="B39" s="75" t="s">
        <v>151</v>
      </c>
      <c r="C39" s="63">
        <v>2</v>
      </c>
      <c r="D39" s="54">
        <v>1260000</v>
      </c>
      <c r="E39" s="77">
        <f>D39/(1-18%)</f>
        <v>1536585.3658536584</v>
      </c>
      <c r="F39" s="55">
        <f t="shared" ref="F39:F43" si="0">D39*C39</f>
        <v>2520000</v>
      </c>
      <c r="G39" s="55">
        <f t="shared" ref="G39:G43" si="1">E39*C39</f>
        <v>3073170.7317073168</v>
      </c>
      <c r="H39" s="55">
        <f t="shared" ref="H39:H43" si="2">G39-F39</f>
        <v>553170.73170731682</v>
      </c>
      <c r="I39" s="59"/>
    </row>
    <row r="40" spans="2:9" ht="16" customHeight="1" x14ac:dyDescent="0.35">
      <c r="B40" s="75" t="s">
        <v>152</v>
      </c>
      <c r="C40" s="63">
        <v>1</v>
      </c>
      <c r="D40" s="54">
        <v>1079000</v>
      </c>
      <c r="E40" s="77">
        <f>D40/(1-20%)</f>
        <v>1348750</v>
      </c>
      <c r="F40" s="55">
        <f t="shared" si="0"/>
        <v>1079000</v>
      </c>
      <c r="G40" s="55">
        <f t="shared" si="1"/>
        <v>1348750</v>
      </c>
      <c r="H40" s="55">
        <f t="shared" si="2"/>
        <v>269750</v>
      </c>
      <c r="I40" s="59"/>
    </row>
    <row r="41" spans="2:9" ht="16" customHeight="1" x14ac:dyDescent="0.35">
      <c r="B41" s="66" t="s">
        <v>145</v>
      </c>
      <c r="C41" s="60">
        <v>1</v>
      </c>
      <c r="D41" s="54"/>
      <c r="E41" s="77">
        <v>60000</v>
      </c>
      <c r="F41" s="55">
        <f t="shared" si="0"/>
        <v>0</v>
      </c>
      <c r="G41" s="55">
        <f t="shared" si="1"/>
        <v>60000</v>
      </c>
      <c r="H41" s="55">
        <f t="shared" si="2"/>
        <v>60000</v>
      </c>
      <c r="I41" s="59"/>
    </row>
    <row r="42" spans="2:9" x14ac:dyDescent="0.35">
      <c r="B42" s="58"/>
      <c r="C42" s="61"/>
      <c r="D42" s="54"/>
      <c r="E42" s="77">
        <f t="shared" ref="E42" si="3">D42/(1-30%)</f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1"/>
    </row>
    <row r="43" spans="2:9" x14ac:dyDescent="0.35">
      <c r="B43" s="58"/>
      <c r="C43" s="61"/>
      <c r="D43" s="54"/>
      <c r="E43" s="77">
        <f t="shared" ref="E43" si="4">D43/(1-24%)</f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D44" s="30"/>
      <c r="E44" s="3" t="s">
        <v>41</v>
      </c>
      <c r="F44" s="31">
        <f>SUM(F39:F43)</f>
        <v>3599000</v>
      </c>
      <c r="G44" s="31">
        <f>SUM(G39:G43)</f>
        <v>4481920.7317073168</v>
      </c>
      <c r="H44" s="31">
        <f>SUM(H39:H43)</f>
        <v>882920.73170731682</v>
      </c>
      <c r="I44" s="1"/>
    </row>
    <row r="45" spans="2:9" x14ac:dyDescent="0.35">
      <c r="B45" s="12" t="s">
        <v>12</v>
      </c>
      <c r="I45" s="1"/>
    </row>
    <row r="46" spans="2:9" x14ac:dyDescent="0.35">
      <c r="C46" s="65"/>
      <c r="I46" s="1"/>
    </row>
    <row r="47" spans="2:9" x14ac:dyDescent="0.35">
      <c r="C47" s="65"/>
      <c r="I47" s="1"/>
    </row>
    <row r="48" spans="2:9" x14ac:dyDescent="0.35">
      <c r="D48" s="65"/>
      <c r="I48" s="1"/>
    </row>
    <row r="49" spans="9:9" x14ac:dyDescent="0.35">
      <c r="I49" s="1"/>
    </row>
  </sheetData>
  <mergeCells count="5">
    <mergeCell ref="B2:C2"/>
    <mergeCell ref="E2:F2"/>
    <mergeCell ref="B3:C3"/>
    <mergeCell ref="E3:F3"/>
    <mergeCell ref="B37:H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48C8-9690-42B1-8555-2A20F0709D9F}">
  <sheetPr codeName="Hoja9"/>
  <dimension ref="B1:N50"/>
  <sheetViews>
    <sheetView tabSelected="1" topLeftCell="A17" zoomScale="85" zoomScaleNormal="85" workbookViewId="0">
      <selection activeCell="B49" sqref="B49"/>
    </sheetView>
  </sheetViews>
  <sheetFormatPr baseColWidth="10" defaultColWidth="12.453125" defaultRowHeight="14.5" x14ac:dyDescent="0.35"/>
  <cols>
    <col min="1" max="1" width="4" style="72" customWidth="1"/>
    <col min="2" max="2" width="104.54296875" style="72" bestFit="1" customWidth="1"/>
    <col min="3" max="3" width="24.54296875" style="72" bestFit="1" customWidth="1"/>
    <col min="4" max="4" width="13.54296875" style="72" customWidth="1"/>
    <col min="5" max="6" width="17.81640625" style="72" customWidth="1"/>
    <col min="7" max="7" width="19.453125" style="73" customWidth="1"/>
    <col min="8" max="8" width="19.453125" style="72" customWidth="1"/>
    <col min="9" max="9" width="75.54296875" style="74" bestFit="1" customWidth="1"/>
    <col min="10" max="10" width="9.1796875" style="72" bestFit="1" customWidth="1"/>
    <col min="11" max="11" width="13" style="72" bestFit="1" customWidth="1"/>
    <col min="12" max="16384" width="12.453125" style="72"/>
  </cols>
  <sheetData>
    <row r="1" spans="2:11" x14ac:dyDescent="0.35">
      <c r="B1" s="1"/>
      <c r="C1" s="1"/>
      <c r="D1" s="1"/>
      <c r="E1" s="1"/>
      <c r="F1" s="1"/>
      <c r="G1" s="2"/>
      <c r="H1" s="1"/>
      <c r="I1" s="1"/>
      <c r="J1" s="1"/>
      <c r="K1" s="1"/>
    </row>
    <row r="2" spans="2:11" x14ac:dyDescent="0.35">
      <c r="B2" s="143"/>
      <c r="C2" s="144"/>
      <c r="D2" s="1"/>
      <c r="E2" s="145"/>
      <c r="F2" s="145"/>
      <c r="G2" s="2"/>
      <c r="H2" s="1"/>
      <c r="I2" s="1"/>
      <c r="J2" s="1"/>
      <c r="K2" s="1"/>
    </row>
    <row r="3" spans="2:11" x14ac:dyDescent="0.35">
      <c r="B3" s="146"/>
      <c r="C3" s="147"/>
      <c r="D3" s="3"/>
      <c r="E3" s="145"/>
      <c r="F3" s="145"/>
      <c r="G3" s="2"/>
      <c r="H3" s="3"/>
      <c r="I3" s="1"/>
      <c r="J3" s="1"/>
      <c r="K3" s="1"/>
    </row>
    <row r="4" spans="2:11" x14ac:dyDescent="0.35">
      <c r="B4" s="4" t="s">
        <v>0</v>
      </c>
      <c r="C4" s="4">
        <f>F45</f>
        <v>699000</v>
      </c>
      <c r="D4" s="1"/>
      <c r="E4" s="1"/>
      <c r="F4" s="1"/>
      <c r="G4" s="2"/>
      <c r="H4" s="1"/>
      <c r="I4" s="1"/>
      <c r="J4" s="1"/>
      <c r="K4" s="4"/>
    </row>
    <row r="5" spans="2:11" x14ac:dyDescent="0.35">
      <c r="B5" s="4" t="s">
        <v>1</v>
      </c>
      <c r="C5" s="6">
        <f>C4*19%</f>
        <v>132810</v>
      </c>
      <c r="D5" s="1"/>
      <c r="E5" s="3" t="s">
        <v>2</v>
      </c>
      <c r="F5" s="1"/>
      <c r="G5" s="2"/>
      <c r="H5" s="1"/>
      <c r="I5" s="1"/>
      <c r="J5" s="1"/>
      <c r="K5" s="4"/>
    </row>
    <row r="6" spans="2:11" x14ac:dyDescent="0.35">
      <c r="B6" s="7" t="s">
        <v>3</v>
      </c>
      <c r="C6" s="8">
        <f>SUM(C4:C5)</f>
        <v>831810</v>
      </c>
      <c r="D6" s="1"/>
      <c r="E6" s="1"/>
      <c r="F6" s="1"/>
      <c r="G6" s="2"/>
      <c r="H6" s="1"/>
      <c r="I6" s="1"/>
      <c r="J6" s="1"/>
      <c r="K6" s="4"/>
    </row>
    <row r="7" spans="2:11" x14ac:dyDescent="0.35">
      <c r="B7" s="4"/>
      <c r="C7" s="4"/>
      <c r="D7" s="1"/>
      <c r="E7" s="1"/>
      <c r="F7" s="1"/>
      <c r="G7" s="2"/>
      <c r="H7" s="1"/>
      <c r="I7" s="1"/>
      <c r="J7" s="1"/>
      <c r="K7" s="4"/>
    </row>
    <row r="8" spans="2:11" x14ac:dyDescent="0.35">
      <c r="B8" s="4" t="s">
        <v>4</v>
      </c>
      <c r="C8" s="4">
        <f>G45</f>
        <v>932000</v>
      </c>
      <c r="D8" s="1"/>
      <c r="E8" s="1"/>
      <c r="F8" s="1"/>
      <c r="G8" s="2"/>
      <c r="H8" s="1"/>
      <c r="I8" s="1"/>
      <c r="J8" s="1"/>
      <c r="K8" s="4"/>
    </row>
    <row r="9" spans="2:11" x14ac:dyDescent="0.35">
      <c r="B9" s="4" t="s">
        <v>5</v>
      </c>
      <c r="C9" s="6">
        <f>C8*19%</f>
        <v>177080</v>
      </c>
      <c r="D9" s="1"/>
      <c r="E9" s="9" t="s">
        <v>6</v>
      </c>
      <c r="F9" s="10"/>
      <c r="G9" s="11"/>
      <c r="H9" s="12"/>
      <c r="I9" s="4"/>
      <c r="J9" s="4"/>
      <c r="K9" s="4"/>
    </row>
    <row r="10" spans="2:11" x14ac:dyDescent="0.35">
      <c r="B10" s="8" t="s">
        <v>7</v>
      </c>
      <c r="C10" s="8">
        <f>C8+C9</f>
        <v>1109080</v>
      </c>
      <c r="D10" s="1"/>
      <c r="E10" s="12"/>
      <c r="F10" s="12"/>
      <c r="G10" s="2"/>
      <c r="H10" s="13"/>
      <c r="I10" s="4"/>
      <c r="J10" s="4"/>
      <c r="K10" s="4"/>
    </row>
    <row r="11" spans="2:11" x14ac:dyDescent="0.35">
      <c r="B11" s="4"/>
      <c r="C11" s="4"/>
      <c r="D11" s="1"/>
      <c r="E11" s="12"/>
      <c r="F11" s="1"/>
      <c r="G11" s="2"/>
      <c r="H11" s="1"/>
      <c r="I11" s="4"/>
      <c r="J11" s="4"/>
      <c r="K11" s="4"/>
    </row>
    <row r="12" spans="2:11" x14ac:dyDescent="0.35">
      <c r="B12" s="7" t="s">
        <v>8</v>
      </c>
      <c r="C12" s="4">
        <f>C9-C5</f>
        <v>44270</v>
      </c>
      <c r="D12" s="1"/>
      <c r="E12" s="13" t="s">
        <v>9</v>
      </c>
      <c r="F12" s="8" t="s">
        <v>10</v>
      </c>
      <c r="G12" s="14" t="s">
        <v>11</v>
      </c>
      <c r="H12" s="1"/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G13" s="2"/>
      <c r="H13" s="1"/>
      <c r="I13" s="4"/>
      <c r="J13" s="4"/>
      <c r="K13" s="4"/>
    </row>
    <row r="14" spans="2:11" x14ac:dyDescent="0.35">
      <c r="B14" s="4" t="s">
        <v>13</v>
      </c>
      <c r="C14" s="4">
        <f>C8-C4</f>
        <v>233000</v>
      </c>
      <c r="D14" s="1"/>
      <c r="E14" s="1"/>
      <c r="F14" s="4"/>
      <c r="G14" s="2"/>
      <c r="H14" s="1"/>
      <c r="I14" s="4"/>
      <c r="J14" s="4"/>
      <c r="K14" s="4"/>
    </row>
    <row r="15" spans="2:11" x14ac:dyDescent="0.35">
      <c r="B15" s="4" t="s">
        <v>14</v>
      </c>
      <c r="C15" s="4">
        <v>0</v>
      </c>
      <c r="D15" s="1"/>
      <c r="E15" s="1"/>
      <c r="F15" s="4"/>
      <c r="G15" s="2"/>
      <c r="H15" s="1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D16" s="1"/>
      <c r="E16" s="1"/>
      <c r="F16" s="4"/>
      <c r="G16" s="2"/>
      <c r="H16" s="1"/>
      <c r="I16" s="4"/>
      <c r="J16" s="4"/>
      <c r="K16" s="4"/>
    </row>
    <row r="17" spans="2:14" x14ac:dyDescent="0.35">
      <c r="B17" s="4" t="s">
        <v>16</v>
      </c>
      <c r="C17" s="4">
        <f>C10-C6-C12-C15-C16</f>
        <v>233000</v>
      </c>
      <c r="D17" s="1"/>
      <c r="E17" s="1"/>
      <c r="F17" s="4"/>
      <c r="G17" s="2"/>
      <c r="H17" s="1"/>
      <c r="I17" s="4"/>
      <c r="J17" s="4"/>
      <c r="K17" s="4"/>
      <c r="L17" s="1"/>
      <c r="M17" s="1"/>
      <c r="N17" s="1"/>
    </row>
    <row r="18" spans="2:14" x14ac:dyDescent="0.35">
      <c r="B18" s="4"/>
      <c r="C18" s="4"/>
      <c r="D18" s="1"/>
      <c r="E18" s="1"/>
      <c r="F18" s="4"/>
      <c r="G18" s="2"/>
      <c r="H18" s="1"/>
      <c r="I18" s="4"/>
      <c r="J18" s="4"/>
      <c r="K18" s="4"/>
      <c r="L18" s="1"/>
      <c r="M18" s="1"/>
      <c r="N18" s="1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G19" s="2"/>
      <c r="H19" s="1"/>
      <c r="I19" s="4"/>
      <c r="J19" s="4"/>
      <c r="K19" s="4"/>
      <c r="L19" s="1"/>
      <c r="M19" s="1"/>
      <c r="N19" s="1"/>
    </row>
    <row r="20" spans="2:14" x14ac:dyDescent="0.35">
      <c r="B20" s="4"/>
      <c r="C20" s="4"/>
      <c r="D20" s="18"/>
      <c r="E20" s="18"/>
      <c r="F20" s="18"/>
      <c r="G20" s="2"/>
      <c r="H20" s="1"/>
      <c r="I20" s="4"/>
      <c r="J20" s="4"/>
      <c r="K20" s="1"/>
      <c r="L20" s="1"/>
      <c r="M20" s="1"/>
      <c r="N20" s="1"/>
    </row>
    <row r="21" spans="2:14" x14ac:dyDescent="0.35">
      <c r="B21" s="19" t="s">
        <v>18</v>
      </c>
      <c r="C21" s="20">
        <f>C17-C19-C18-C20</f>
        <v>233000</v>
      </c>
      <c r="D21" s="1"/>
      <c r="E21" s="1"/>
      <c r="F21" s="1"/>
      <c r="G21" s="2"/>
      <c r="H21" s="1"/>
      <c r="I21" s="4"/>
      <c r="J21" s="4"/>
      <c r="K21" s="1"/>
      <c r="L21" s="1"/>
      <c r="M21" s="1"/>
      <c r="N21" s="1"/>
    </row>
    <row r="22" spans="2:14" x14ac:dyDescent="0.35">
      <c r="B22" s="4"/>
      <c r="C22" s="4"/>
      <c r="D22" s="1"/>
      <c r="E22" s="1"/>
      <c r="F22" s="1"/>
      <c r="G22" s="2"/>
      <c r="H22" s="1"/>
      <c r="I22" s="4"/>
      <c r="J22" s="4"/>
      <c r="K22" s="4"/>
      <c r="L22" s="4"/>
      <c r="M22" s="4"/>
      <c r="N22" s="4"/>
    </row>
    <row r="23" spans="2:14" x14ac:dyDescent="0.35">
      <c r="B23" s="19" t="s">
        <v>19</v>
      </c>
      <c r="C23" s="21">
        <f>C14*12.5%</f>
        <v>29125</v>
      </c>
      <c r="D23" s="1"/>
      <c r="E23" s="136" t="s">
        <v>20</v>
      </c>
      <c r="F23" s="136" t="s">
        <v>21</v>
      </c>
      <c r="G23" s="11" t="s">
        <v>22</v>
      </c>
      <c r="H23" s="1"/>
      <c r="I23" s="1"/>
      <c r="J23" s="1"/>
      <c r="K23" s="1"/>
      <c r="L23" s="1"/>
      <c r="M23" s="4"/>
      <c r="N23" s="4"/>
    </row>
    <row r="24" spans="2:14" x14ac:dyDescent="0.35">
      <c r="B24" s="52"/>
      <c r="C24" s="16"/>
      <c r="D24" s="1"/>
      <c r="E24" s="1"/>
      <c r="F24" s="1"/>
      <c r="G24" s="2"/>
      <c r="H24" s="1"/>
      <c r="I24" s="1"/>
      <c r="J24" s="1"/>
      <c r="K24" s="53"/>
      <c r="L24" s="53"/>
      <c r="M24" s="4"/>
      <c r="N24" s="4"/>
    </row>
    <row r="25" spans="2:14" x14ac:dyDescent="0.35">
      <c r="B25" s="19" t="s">
        <v>23</v>
      </c>
      <c r="C25" s="21">
        <f>C21-C23</f>
        <v>203875</v>
      </c>
      <c r="D25" s="136" t="s">
        <v>24</v>
      </c>
      <c r="E25" s="8">
        <f>C25*100/C8</f>
        <v>21.875</v>
      </c>
      <c r="F25" s="3" t="s">
        <v>25</v>
      </c>
      <c r="G25" s="2"/>
      <c r="H25" s="1"/>
      <c r="I25" s="1"/>
      <c r="J25" s="1"/>
      <c r="K25" s="1"/>
      <c r="L25" s="1"/>
      <c r="M25" s="1"/>
      <c r="N25" s="1"/>
    </row>
    <row r="26" spans="2:14" x14ac:dyDescent="0.35">
      <c r="B26" s="1"/>
      <c r="C26" s="1"/>
      <c r="D26" s="1"/>
      <c r="E26" s="1"/>
      <c r="F26" s="1"/>
      <c r="G26" s="2"/>
      <c r="H26" s="1"/>
      <c r="I26" s="1"/>
      <c r="J26" s="1"/>
      <c r="K26" s="1"/>
      <c r="L26" s="1"/>
      <c r="M26" s="1"/>
      <c r="N26" s="1"/>
    </row>
    <row r="27" spans="2:14" x14ac:dyDescent="0.35">
      <c r="B27" s="19" t="s">
        <v>26</v>
      </c>
      <c r="C27" s="21">
        <f>C25*0%</f>
        <v>0</v>
      </c>
      <c r="D27" s="33" t="s">
        <v>27</v>
      </c>
      <c r="E27" s="1"/>
      <c r="F27" s="1"/>
      <c r="G27" s="2"/>
      <c r="H27" s="1"/>
      <c r="I27" s="1"/>
      <c r="J27" s="1"/>
      <c r="K27" s="1"/>
      <c r="L27" s="1"/>
      <c r="M27" s="1"/>
      <c r="N27" s="1"/>
    </row>
    <row r="28" spans="2:14" x14ac:dyDescent="0.35">
      <c r="B28" s="1"/>
      <c r="C28" s="1"/>
      <c r="D28" s="1"/>
      <c r="E28" s="1"/>
      <c r="F28" s="1"/>
      <c r="G28" s="2"/>
      <c r="H28" s="1"/>
      <c r="I28" s="1"/>
      <c r="J28" s="1"/>
      <c r="K28" s="1"/>
      <c r="L28" s="1"/>
      <c r="M28" s="1"/>
      <c r="N28" s="1"/>
    </row>
    <row r="29" spans="2:14" x14ac:dyDescent="0.35">
      <c r="B29" s="19" t="s">
        <v>28</v>
      </c>
      <c r="C29" s="20">
        <f>C25-C27</f>
        <v>203875</v>
      </c>
      <c r="D29" s="1"/>
      <c r="E29" s="1"/>
      <c r="F29" s="1"/>
      <c r="G29" s="2"/>
      <c r="H29" s="1"/>
      <c r="I29" s="1"/>
      <c r="J29" s="1"/>
      <c r="K29" s="1"/>
      <c r="L29" s="1"/>
      <c r="M29" s="1"/>
      <c r="N29" s="1"/>
    </row>
    <row r="30" spans="2:14" x14ac:dyDescent="0.35">
      <c r="B30" s="52"/>
      <c r="C30" s="13"/>
      <c r="D30" s="1"/>
      <c r="E30" s="1"/>
      <c r="F30" s="1"/>
      <c r="G30" s="2"/>
      <c r="H30" s="1"/>
      <c r="I30" s="1"/>
      <c r="J30" s="1"/>
      <c r="K30" s="1"/>
      <c r="L30" s="1"/>
      <c r="M30" s="1"/>
      <c r="N30" s="1"/>
    </row>
    <row r="31" spans="2:14" x14ac:dyDescent="0.35">
      <c r="B31" s="19" t="s">
        <v>29</v>
      </c>
      <c r="C31" s="20">
        <v>0</v>
      </c>
      <c r="D31" s="1"/>
      <c r="E31" s="1"/>
      <c r="F31" s="1"/>
      <c r="G31" s="2"/>
      <c r="H31" s="1"/>
      <c r="I31" s="1"/>
      <c r="J31" s="1"/>
      <c r="K31" s="1"/>
      <c r="L31" s="1"/>
      <c r="M31" s="1"/>
      <c r="N31" s="1"/>
    </row>
    <row r="32" spans="2:14" x14ac:dyDescent="0.35">
      <c r="B32" s="52"/>
      <c r="C32" s="16"/>
      <c r="D32" s="1"/>
      <c r="E32" s="1"/>
      <c r="F32" s="1"/>
      <c r="G32" s="2"/>
      <c r="H32" s="1"/>
      <c r="I32" s="1"/>
      <c r="J32" s="1"/>
      <c r="K32" s="1"/>
      <c r="L32" s="1"/>
      <c r="M32" s="1"/>
      <c r="N32" s="1"/>
    </row>
    <row r="33" spans="2:9" x14ac:dyDescent="0.35">
      <c r="B33" s="19" t="s">
        <v>30</v>
      </c>
      <c r="C33" s="20">
        <f>C29*0/100</f>
        <v>0</v>
      </c>
      <c r="D33" s="1"/>
      <c r="E33" s="1"/>
      <c r="F33" s="1"/>
      <c r="G33" s="2"/>
      <c r="H33" s="1"/>
      <c r="I33" s="1"/>
    </row>
    <row r="34" spans="2:9" x14ac:dyDescent="0.35">
      <c r="B34" s="23"/>
      <c r="C34" s="13"/>
      <c r="D34" s="1"/>
      <c r="E34" s="1"/>
      <c r="F34" s="1"/>
      <c r="G34" s="2"/>
      <c r="H34" s="1"/>
      <c r="I34" s="1"/>
    </row>
    <row r="35" spans="2:9" x14ac:dyDescent="0.35">
      <c r="B35" s="19" t="s">
        <v>31</v>
      </c>
      <c r="C35" s="20">
        <f>C29-C31-C33</f>
        <v>203875</v>
      </c>
      <c r="D35" s="33" t="s">
        <v>27</v>
      </c>
      <c r="E35" s="16"/>
      <c r="F35" s="16"/>
      <c r="G35" s="2"/>
      <c r="H35" s="12"/>
      <c r="I35" s="1"/>
    </row>
    <row r="36" spans="2:9" x14ac:dyDescent="0.35">
      <c r="B36" s="23"/>
      <c r="C36" s="13"/>
      <c r="D36" s="1"/>
      <c r="E36" s="1"/>
      <c r="F36" s="1"/>
      <c r="G36" s="2"/>
      <c r="H36" s="1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1"/>
    </row>
    <row r="39" spans="2:9" ht="16" customHeight="1" x14ac:dyDescent="0.35">
      <c r="B39" s="66" t="s">
        <v>102</v>
      </c>
      <c r="C39" s="62">
        <v>1</v>
      </c>
      <c r="D39" s="54">
        <v>699000</v>
      </c>
      <c r="E39" s="77">
        <f>D39/(1-25%)</f>
        <v>932000</v>
      </c>
      <c r="F39" s="55">
        <f t="shared" ref="F39:F44" si="0">D39*C39</f>
        <v>699000</v>
      </c>
      <c r="G39" s="55">
        <f t="shared" ref="G39:G44" si="1">E39*C39</f>
        <v>932000</v>
      </c>
      <c r="H39" s="55">
        <f t="shared" ref="H39:H44" si="2">G39-F39</f>
        <v>233000</v>
      </c>
      <c r="I39" s="59"/>
    </row>
    <row r="40" spans="2:9" ht="16" customHeight="1" x14ac:dyDescent="0.35">
      <c r="B40" s="66"/>
      <c r="C40" s="63"/>
      <c r="D40" s="54"/>
      <c r="E40" s="77">
        <f>D40/(1-25%)</f>
        <v>0</v>
      </c>
      <c r="F40" s="55">
        <f t="shared" si="0"/>
        <v>0</v>
      </c>
      <c r="G40" s="55">
        <f t="shared" si="1"/>
        <v>0</v>
      </c>
      <c r="H40" s="55">
        <f t="shared" si="2"/>
        <v>0</v>
      </c>
      <c r="I40" s="59"/>
    </row>
    <row r="41" spans="2:9" ht="16" customHeight="1" x14ac:dyDescent="0.35">
      <c r="B41" s="66"/>
      <c r="C41" s="63"/>
      <c r="D41" s="54"/>
      <c r="E41" s="77">
        <f>D41/(1-18%)</f>
        <v>0</v>
      </c>
      <c r="F41" s="55">
        <f t="shared" si="0"/>
        <v>0</v>
      </c>
      <c r="G41" s="55">
        <f t="shared" si="1"/>
        <v>0</v>
      </c>
      <c r="H41" s="55">
        <f t="shared" si="2"/>
        <v>0</v>
      </c>
      <c r="I41" s="59"/>
    </row>
    <row r="42" spans="2:9" ht="16" customHeight="1" x14ac:dyDescent="0.35">
      <c r="B42" s="66"/>
      <c r="C42" s="60"/>
      <c r="D42" s="54"/>
      <c r="E42" s="77">
        <f>D42/(1-50%)</f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9"/>
    </row>
    <row r="43" spans="2:9" x14ac:dyDescent="0.35">
      <c r="B43" s="58"/>
      <c r="C43" s="61"/>
      <c r="D43" s="54"/>
      <c r="E43" s="77">
        <f>D43/(1-18%)</f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B44" s="58"/>
      <c r="C44" s="61"/>
      <c r="D44" s="54"/>
      <c r="E44" s="77">
        <f>D44/(1-18%)</f>
        <v>0</v>
      </c>
      <c r="F44" s="55">
        <f t="shared" si="0"/>
        <v>0</v>
      </c>
      <c r="G44" s="55">
        <f t="shared" si="1"/>
        <v>0</v>
      </c>
      <c r="H44" s="55">
        <f t="shared" si="2"/>
        <v>0</v>
      </c>
      <c r="I44" s="51"/>
    </row>
    <row r="45" spans="2:9" x14ac:dyDescent="0.35">
      <c r="B45" s="1"/>
      <c r="C45" s="1"/>
      <c r="D45" s="30"/>
      <c r="E45" s="3" t="s">
        <v>41</v>
      </c>
      <c r="F45" s="31">
        <f>SUM(F39:F44)</f>
        <v>699000</v>
      </c>
      <c r="G45" s="31">
        <f>SUM(G39:G44)</f>
        <v>932000</v>
      </c>
      <c r="H45" s="31">
        <f>SUM(H39:H44)</f>
        <v>233000</v>
      </c>
      <c r="I45" s="1"/>
    </row>
    <row r="46" spans="2:9" x14ac:dyDescent="0.35">
      <c r="B46" s="12" t="s">
        <v>12</v>
      </c>
      <c r="C46" s="1"/>
      <c r="D46" s="1"/>
      <c r="E46" s="1"/>
      <c r="F46" s="1"/>
      <c r="G46" s="2"/>
      <c r="H46" s="1"/>
      <c r="I46" s="1"/>
    </row>
    <row r="47" spans="2:9" x14ac:dyDescent="0.35">
      <c r="B47" s="1"/>
      <c r="C47" s="65"/>
      <c r="D47" s="1"/>
      <c r="E47" s="1"/>
      <c r="F47" s="1"/>
      <c r="G47" s="2"/>
      <c r="H47" s="1"/>
      <c r="I47" s="1"/>
    </row>
    <row r="48" spans="2:9" x14ac:dyDescent="0.35">
      <c r="B48" s="1"/>
      <c r="C48" s="65"/>
      <c r="D48" s="1"/>
      <c r="E48" s="1"/>
      <c r="F48" s="1"/>
      <c r="G48" s="2"/>
      <c r="H48" s="1"/>
      <c r="I48" s="1"/>
    </row>
    <row r="49" spans="4:9" x14ac:dyDescent="0.35">
      <c r="D49" s="65"/>
      <c r="E49" s="1"/>
      <c r="F49" s="1"/>
      <c r="G49" s="2"/>
      <c r="H49" s="1"/>
      <c r="I49" s="1"/>
    </row>
    <row r="50" spans="4:9" x14ac:dyDescent="0.35">
      <c r="D50" s="1"/>
      <c r="E50" s="1"/>
      <c r="F50" s="1"/>
      <c r="G50" s="2"/>
      <c r="H50" s="1"/>
      <c r="I50" s="1"/>
    </row>
  </sheetData>
  <mergeCells count="5">
    <mergeCell ref="B2:C2"/>
    <mergeCell ref="E2:F2"/>
    <mergeCell ref="B3:C3"/>
    <mergeCell ref="E3:F3"/>
    <mergeCell ref="B37:H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E09E-7AE9-44CF-89C6-1459E69FB089}">
  <sheetPr codeName="Hoja11"/>
  <dimension ref="B1:N50"/>
  <sheetViews>
    <sheetView tabSelected="1" topLeftCell="A22" zoomScale="85" zoomScaleNormal="85" workbookViewId="0">
      <selection activeCell="B49" sqref="B49"/>
    </sheetView>
  </sheetViews>
  <sheetFormatPr baseColWidth="10" defaultColWidth="12.453125" defaultRowHeight="14.5" x14ac:dyDescent="0.35"/>
  <cols>
    <col min="1" max="1" width="4" style="72" customWidth="1"/>
    <col min="2" max="2" width="104.54296875" style="72" bestFit="1" customWidth="1"/>
    <col min="3" max="3" width="24.54296875" style="72" bestFit="1" customWidth="1"/>
    <col min="4" max="4" width="13.54296875" style="72" customWidth="1"/>
    <col min="5" max="6" width="17.81640625" style="72" customWidth="1"/>
    <col min="7" max="7" width="19.453125" style="73" customWidth="1"/>
    <col min="8" max="8" width="19.453125" style="72" customWidth="1"/>
    <col min="9" max="9" width="75.54296875" style="74" bestFit="1" customWidth="1"/>
    <col min="10" max="10" width="9.1796875" style="72" bestFit="1" customWidth="1"/>
    <col min="11" max="11" width="13" style="72" bestFit="1" customWidth="1"/>
    <col min="12" max="16384" width="12.453125" style="72"/>
  </cols>
  <sheetData>
    <row r="1" spans="2:11" x14ac:dyDescent="0.35">
      <c r="B1" s="1"/>
      <c r="C1" s="1"/>
      <c r="D1" s="1"/>
      <c r="E1" s="1"/>
      <c r="F1" s="1"/>
      <c r="G1" s="2"/>
      <c r="H1" s="1"/>
      <c r="I1" s="1"/>
      <c r="J1" s="1"/>
      <c r="K1" s="1"/>
    </row>
    <row r="2" spans="2:11" x14ac:dyDescent="0.35">
      <c r="B2" s="143"/>
      <c r="C2" s="144"/>
      <c r="D2" s="1"/>
      <c r="E2" s="145"/>
      <c r="F2" s="145"/>
      <c r="G2" s="2"/>
      <c r="H2" s="1"/>
      <c r="I2" s="1"/>
      <c r="J2" s="1"/>
      <c r="K2" s="1"/>
    </row>
    <row r="3" spans="2:11" x14ac:dyDescent="0.35">
      <c r="B3" s="146"/>
      <c r="C3" s="147"/>
      <c r="D3" s="3"/>
      <c r="E3" s="145"/>
      <c r="F3" s="145"/>
      <c r="G3" s="2"/>
      <c r="H3" s="3"/>
      <c r="I3" s="1"/>
      <c r="J3" s="1"/>
      <c r="K3" s="1"/>
    </row>
    <row r="4" spans="2:11" x14ac:dyDescent="0.35">
      <c r="B4" s="4" t="s">
        <v>0</v>
      </c>
      <c r="C4" s="4">
        <f>F45</f>
        <v>7965249</v>
      </c>
      <c r="D4" s="1"/>
      <c r="E4" s="1"/>
      <c r="F4" s="1"/>
      <c r="G4" s="2"/>
      <c r="H4" s="1"/>
      <c r="I4" s="1"/>
      <c r="J4" s="1"/>
      <c r="K4" s="4"/>
    </row>
    <row r="5" spans="2:11" x14ac:dyDescent="0.35">
      <c r="B5" s="4" t="s">
        <v>1</v>
      </c>
      <c r="C5" s="6">
        <f>C4*19%</f>
        <v>1513397.31</v>
      </c>
      <c r="D5" s="1"/>
      <c r="E5" s="3" t="s">
        <v>2</v>
      </c>
      <c r="F5" s="1"/>
      <c r="G5" s="2"/>
      <c r="H5" s="1"/>
      <c r="I5" s="1"/>
      <c r="J5" s="1"/>
      <c r="K5" s="4"/>
    </row>
    <row r="6" spans="2:11" x14ac:dyDescent="0.35">
      <c r="B6" s="7" t="s">
        <v>3</v>
      </c>
      <c r="C6" s="8">
        <f>SUM(C4:C5)</f>
        <v>9478646.3100000005</v>
      </c>
      <c r="D6" s="1"/>
      <c r="E6" s="1"/>
      <c r="F6" s="1"/>
      <c r="G6" s="2"/>
      <c r="H6" s="1"/>
      <c r="I6" s="1"/>
      <c r="J6" s="1"/>
      <c r="K6" s="4"/>
    </row>
    <row r="7" spans="2:11" x14ac:dyDescent="0.35">
      <c r="B7" s="4"/>
      <c r="C7" s="4"/>
      <c r="D7" s="1"/>
      <c r="E7" s="1"/>
      <c r="F7" s="1"/>
      <c r="G7" s="2"/>
      <c r="H7" s="1"/>
      <c r="I7" s="1"/>
      <c r="J7" s="1"/>
      <c r="K7" s="4"/>
    </row>
    <row r="8" spans="2:11" x14ac:dyDescent="0.35">
      <c r="B8" s="4" t="s">
        <v>4</v>
      </c>
      <c r="C8" s="4">
        <f>G45</f>
        <v>9035055.6818181816</v>
      </c>
      <c r="D8" s="1"/>
      <c r="E8" s="1"/>
      <c r="F8" s="1"/>
      <c r="G8" s="2"/>
      <c r="H8" s="1"/>
      <c r="I8" s="1"/>
      <c r="J8" s="1"/>
      <c r="K8" s="4"/>
    </row>
    <row r="9" spans="2:11" x14ac:dyDescent="0.35">
      <c r="B9" s="4" t="s">
        <v>5</v>
      </c>
      <c r="C9" s="6">
        <f>C8*19%</f>
        <v>1716660.5795454546</v>
      </c>
      <c r="D9" s="1"/>
      <c r="E9" s="9" t="s">
        <v>6</v>
      </c>
      <c r="F9" s="10"/>
      <c r="G9" s="11"/>
      <c r="H9" s="12"/>
      <c r="I9" s="4"/>
      <c r="J9" s="4"/>
      <c r="K9" s="4"/>
    </row>
    <row r="10" spans="2:11" x14ac:dyDescent="0.35">
      <c r="B10" s="8" t="s">
        <v>7</v>
      </c>
      <c r="C10" s="8">
        <f>C8+C9</f>
        <v>10751716.261363637</v>
      </c>
      <c r="D10" s="1"/>
      <c r="E10" s="12"/>
      <c r="F10" s="12"/>
      <c r="G10" s="2"/>
      <c r="H10" s="13"/>
      <c r="I10" s="4"/>
      <c r="J10" s="4"/>
      <c r="K10" s="4"/>
    </row>
    <row r="11" spans="2:11" x14ac:dyDescent="0.35">
      <c r="B11" s="4"/>
      <c r="C11" s="4"/>
      <c r="D11" s="1"/>
      <c r="E11" s="12"/>
      <c r="F11" s="1"/>
      <c r="G11" s="2"/>
      <c r="H11" s="1"/>
      <c r="I11" s="4"/>
      <c r="J11" s="4"/>
      <c r="K11" s="4"/>
    </row>
    <row r="12" spans="2:11" x14ac:dyDescent="0.35">
      <c r="B12" s="7" t="s">
        <v>8</v>
      </c>
      <c r="C12" s="4">
        <f>C9-C5</f>
        <v>203263.26954545453</v>
      </c>
      <c r="D12" s="1"/>
      <c r="E12" s="13" t="s">
        <v>9</v>
      </c>
      <c r="F12" s="8" t="s">
        <v>10</v>
      </c>
      <c r="G12" s="14" t="s">
        <v>11</v>
      </c>
      <c r="H12" s="1"/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G13" s="2"/>
      <c r="H13" s="1"/>
      <c r="I13" s="4"/>
      <c r="J13" s="4"/>
      <c r="K13" s="4"/>
    </row>
    <row r="14" spans="2:11" x14ac:dyDescent="0.35">
      <c r="B14" s="4" t="s">
        <v>13</v>
      </c>
      <c r="C14" s="4">
        <f>C8-C4</f>
        <v>1069806.6818181816</v>
      </c>
      <c r="D14" s="1"/>
      <c r="E14" s="1"/>
      <c r="F14" s="4"/>
      <c r="G14" s="2"/>
      <c r="H14" s="1"/>
      <c r="I14" s="4"/>
      <c r="J14" s="4"/>
      <c r="K14" s="4"/>
    </row>
    <row r="15" spans="2:11" x14ac:dyDescent="0.35">
      <c r="B15" s="4" t="s">
        <v>14</v>
      </c>
      <c r="C15" s="4">
        <v>0</v>
      </c>
      <c r="D15" s="1"/>
      <c r="E15" s="1"/>
      <c r="F15" s="4"/>
      <c r="G15" s="2"/>
      <c r="H15" s="1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D16" s="1"/>
      <c r="E16" s="1"/>
      <c r="F16" s="4"/>
      <c r="G16" s="2"/>
      <c r="H16" s="1"/>
      <c r="I16" s="4"/>
      <c r="J16" s="4"/>
      <c r="K16" s="4"/>
    </row>
    <row r="17" spans="2:14" x14ac:dyDescent="0.35">
      <c r="B17" s="4" t="s">
        <v>16</v>
      </c>
      <c r="C17" s="4">
        <f>C10-C6-C12-C15-C16</f>
        <v>1069806.6818181816</v>
      </c>
      <c r="D17" s="1"/>
      <c r="E17" s="1"/>
      <c r="F17" s="4"/>
      <c r="G17" s="2"/>
      <c r="H17" s="1"/>
      <c r="I17" s="4"/>
      <c r="J17" s="4"/>
      <c r="K17" s="4"/>
      <c r="L17" s="1"/>
      <c r="M17" s="1"/>
      <c r="N17" s="1"/>
    </row>
    <row r="18" spans="2:14" x14ac:dyDescent="0.35">
      <c r="B18" s="4"/>
      <c r="C18" s="4"/>
      <c r="D18" s="1"/>
      <c r="E18" s="1"/>
      <c r="F18" s="4"/>
      <c r="G18" s="2"/>
      <c r="H18" s="1"/>
      <c r="I18" s="4"/>
      <c r="J18" s="4"/>
      <c r="K18" s="4"/>
      <c r="L18" s="1"/>
      <c r="M18" s="1"/>
      <c r="N18" s="1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G19" s="2"/>
      <c r="H19" s="1"/>
      <c r="I19" s="4"/>
      <c r="J19" s="4"/>
      <c r="K19" s="4"/>
      <c r="L19" s="1"/>
      <c r="M19" s="1"/>
      <c r="N19" s="1"/>
    </row>
    <row r="20" spans="2:14" x14ac:dyDescent="0.35">
      <c r="B20" s="4"/>
      <c r="C20" s="4"/>
      <c r="D20" s="18"/>
      <c r="E20" s="18"/>
      <c r="F20" s="18"/>
      <c r="G20" s="2"/>
      <c r="H20" s="1"/>
      <c r="I20" s="4"/>
      <c r="J20" s="4"/>
      <c r="K20" s="1"/>
      <c r="L20" s="1"/>
      <c r="M20" s="1"/>
      <c r="N20" s="1"/>
    </row>
    <row r="21" spans="2:14" x14ac:dyDescent="0.35">
      <c r="B21" s="19" t="s">
        <v>18</v>
      </c>
      <c r="C21" s="20">
        <f>C17-C19-C18-C20</f>
        <v>1069806.6818181816</v>
      </c>
      <c r="D21" s="1"/>
      <c r="E21" s="1"/>
      <c r="F21" s="1"/>
      <c r="G21" s="2"/>
      <c r="H21" s="1"/>
      <c r="I21" s="4"/>
      <c r="J21" s="4"/>
      <c r="K21" s="1"/>
      <c r="L21" s="1"/>
      <c r="M21" s="1"/>
      <c r="N21" s="1"/>
    </row>
    <row r="22" spans="2:14" x14ac:dyDescent="0.35">
      <c r="B22" s="4"/>
      <c r="C22" s="4"/>
      <c r="D22" s="1"/>
      <c r="E22" s="1"/>
      <c r="F22" s="1"/>
      <c r="G22" s="2"/>
      <c r="H22" s="1"/>
      <c r="I22" s="4"/>
      <c r="J22" s="4"/>
      <c r="K22" s="4"/>
      <c r="L22" s="4"/>
      <c r="M22" s="4"/>
      <c r="N22" s="4"/>
    </row>
    <row r="23" spans="2:14" x14ac:dyDescent="0.35">
      <c r="B23" s="19" t="s">
        <v>19</v>
      </c>
      <c r="C23" s="21">
        <f>C14*12.5%</f>
        <v>133725.83522727271</v>
      </c>
      <c r="D23" s="1"/>
      <c r="E23" s="136" t="s">
        <v>20</v>
      </c>
      <c r="F23" s="136" t="s">
        <v>21</v>
      </c>
      <c r="G23" s="11" t="s">
        <v>22</v>
      </c>
      <c r="H23" s="1"/>
      <c r="I23" s="1"/>
      <c r="J23" s="1"/>
      <c r="K23" s="1"/>
      <c r="L23" s="1"/>
      <c r="M23" s="4"/>
      <c r="N23" s="4"/>
    </row>
    <row r="24" spans="2:14" x14ac:dyDescent="0.35">
      <c r="B24" s="52"/>
      <c r="C24" s="16"/>
      <c r="D24" s="1"/>
      <c r="E24" s="1"/>
      <c r="F24" s="1"/>
      <c r="G24" s="2"/>
      <c r="H24" s="1"/>
      <c r="I24" s="1"/>
      <c r="J24" s="1"/>
      <c r="K24" s="53"/>
      <c r="L24" s="53"/>
      <c r="M24" s="4"/>
      <c r="N24" s="4"/>
    </row>
    <row r="25" spans="2:14" x14ac:dyDescent="0.35">
      <c r="B25" s="19" t="s">
        <v>23</v>
      </c>
      <c r="C25" s="21">
        <f>C21-C23</f>
        <v>936080.84659090894</v>
      </c>
      <c r="D25" s="136" t="s">
        <v>24</v>
      </c>
      <c r="E25" s="8">
        <f>C25*100/C8</f>
        <v>10.36054319482108</v>
      </c>
      <c r="F25" s="3" t="s">
        <v>25</v>
      </c>
      <c r="G25" s="2"/>
      <c r="H25" s="1"/>
      <c r="I25" s="1"/>
      <c r="J25" s="1"/>
      <c r="K25" s="1"/>
      <c r="L25" s="1"/>
      <c r="M25" s="1"/>
      <c r="N25" s="1"/>
    </row>
    <row r="26" spans="2:14" x14ac:dyDescent="0.35">
      <c r="B26" s="1"/>
      <c r="C26" s="1"/>
      <c r="D26" s="1"/>
      <c r="E26" s="1"/>
      <c r="F26" s="1"/>
      <c r="G26" s="2"/>
      <c r="H26" s="1"/>
      <c r="I26" s="1"/>
      <c r="J26" s="1"/>
      <c r="K26" s="1"/>
      <c r="L26" s="1"/>
      <c r="M26" s="1"/>
      <c r="N26" s="1"/>
    </row>
    <row r="27" spans="2:14" x14ac:dyDescent="0.35">
      <c r="B27" s="19" t="s">
        <v>26</v>
      </c>
      <c r="C27" s="21">
        <f>C25*0%</f>
        <v>0</v>
      </c>
      <c r="D27" s="33" t="s">
        <v>27</v>
      </c>
      <c r="E27" s="1"/>
      <c r="F27" s="1"/>
      <c r="G27" s="2"/>
      <c r="H27" s="1"/>
      <c r="I27" s="1"/>
      <c r="J27" s="1"/>
      <c r="K27" s="1"/>
      <c r="L27" s="1"/>
      <c r="M27" s="1"/>
      <c r="N27" s="1"/>
    </row>
    <row r="28" spans="2:14" x14ac:dyDescent="0.35">
      <c r="B28" s="1"/>
      <c r="C28" s="1"/>
      <c r="D28" s="1"/>
      <c r="E28" s="1"/>
      <c r="F28" s="1"/>
      <c r="G28" s="2"/>
      <c r="H28" s="1"/>
      <c r="I28" s="1"/>
      <c r="J28" s="1"/>
      <c r="K28" s="1"/>
      <c r="L28" s="1"/>
      <c r="M28" s="1"/>
      <c r="N28" s="1"/>
    </row>
    <row r="29" spans="2:14" x14ac:dyDescent="0.35">
      <c r="B29" s="19" t="s">
        <v>28</v>
      </c>
      <c r="C29" s="20">
        <f>C25-C27</f>
        <v>936080.84659090894</v>
      </c>
      <c r="D29" s="1"/>
      <c r="E29" s="1"/>
      <c r="F29" s="1"/>
      <c r="G29" s="2"/>
      <c r="H29" s="1"/>
      <c r="I29" s="1"/>
      <c r="J29" s="1"/>
      <c r="K29" s="1"/>
      <c r="L29" s="1"/>
      <c r="M29" s="1"/>
      <c r="N29" s="1"/>
    </row>
    <row r="30" spans="2:14" x14ac:dyDescent="0.35">
      <c r="B30" s="52"/>
      <c r="C30" s="13"/>
      <c r="D30" s="1"/>
      <c r="E30" s="1"/>
      <c r="F30" s="1"/>
      <c r="G30" s="2"/>
      <c r="H30" s="1"/>
      <c r="I30" s="1"/>
      <c r="J30" s="1"/>
      <c r="K30" s="1"/>
      <c r="L30" s="1"/>
      <c r="M30" s="1"/>
      <c r="N30" s="1"/>
    </row>
    <row r="31" spans="2:14" x14ac:dyDescent="0.35">
      <c r="B31" s="19" t="s">
        <v>29</v>
      </c>
      <c r="C31" s="20">
        <v>0</v>
      </c>
      <c r="D31" s="1"/>
      <c r="E31" s="1"/>
      <c r="F31" s="1"/>
      <c r="G31" s="2"/>
      <c r="H31" s="1"/>
      <c r="I31" s="1"/>
      <c r="J31" s="1"/>
      <c r="K31" s="1"/>
      <c r="L31" s="1"/>
      <c r="M31" s="1"/>
      <c r="N31" s="1"/>
    </row>
    <row r="32" spans="2:14" x14ac:dyDescent="0.35">
      <c r="B32" s="52"/>
      <c r="C32" s="16"/>
      <c r="D32" s="1"/>
      <c r="E32" s="1"/>
      <c r="F32" s="1"/>
      <c r="G32" s="2"/>
      <c r="H32" s="1"/>
      <c r="I32" s="1"/>
      <c r="J32" s="1"/>
      <c r="K32" s="1"/>
      <c r="L32" s="1"/>
      <c r="M32" s="1"/>
      <c r="N32" s="1"/>
    </row>
    <row r="33" spans="2:9" x14ac:dyDescent="0.35">
      <c r="B33" s="19" t="s">
        <v>30</v>
      </c>
      <c r="C33" s="20">
        <f>C29*0/100</f>
        <v>0</v>
      </c>
      <c r="D33" s="1"/>
      <c r="E33" s="1"/>
      <c r="F33" s="1"/>
      <c r="G33" s="2"/>
      <c r="H33" s="1"/>
      <c r="I33" s="1"/>
    </row>
    <row r="34" spans="2:9" x14ac:dyDescent="0.35">
      <c r="B34" s="23"/>
      <c r="C34" s="13"/>
      <c r="D34" s="1"/>
      <c r="E34" s="1"/>
      <c r="F34" s="1"/>
      <c r="G34" s="2"/>
      <c r="H34" s="1"/>
      <c r="I34" s="1"/>
    </row>
    <row r="35" spans="2:9" x14ac:dyDescent="0.35">
      <c r="B35" s="19" t="s">
        <v>31</v>
      </c>
      <c r="C35" s="20">
        <f>C29-C31-C33</f>
        <v>936080.84659090894</v>
      </c>
      <c r="D35" s="33" t="s">
        <v>27</v>
      </c>
      <c r="E35" s="16"/>
      <c r="F35" s="16"/>
      <c r="G35" s="2"/>
      <c r="H35" s="12"/>
      <c r="I35" s="1"/>
    </row>
    <row r="36" spans="2:9" x14ac:dyDescent="0.35">
      <c r="B36" s="23"/>
      <c r="C36" s="13"/>
      <c r="D36" s="1"/>
      <c r="E36" s="1"/>
      <c r="F36" s="1"/>
      <c r="G36" s="2"/>
      <c r="H36" s="1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1"/>
    </row>
    <row r="39" spans="2:9" ht="16" customHeight="1" x14ac:dyDescent="0.35">
      <c r="B39" s="75" t="s">
        <v>104</v>
      </c>
      <c r="C39" s="62">
        <v>1</v>
      </c>
      <c r="D39" s="54">
        <v>3742186</v>
      </c>
      <c r="E39" s="77">
        <f>D39/(1-12%)</f>
        <v>4252484.0909090908</v>
      </c>
      <c r="F39" s="55">
        <f t="shared" ref="F39:F44" si="0">D39*C39</f>
        <v>3742186</v>
      </c>
      <c r="G39" s="55">
        <f t="shared" ref="G39:G44" si="1">E39*C39</f>
        <v>4252484.0909090908</v>
      </c>
      <c r="H39" s="55">
        <f t="shared" ref="H39:H44" si="2">G39-F39</f>
        <v>510298.09090909082</v>
      </c>
      <c r="I39" s="59" t="s">
        <v>105</v>
      </c>
    </row>
    <row r="40" spans="2:9" ht="16" customHeight="1" x14ac:dyDescent="0.35">
      <c r="B40" s="75" t="s">
        <v>106</v>
      </c>
      <c r="C40" s="63">
        <v>1</v>
      </c>
      <c r="D40" s="54">
        <v>4103063</v>
      </c>
      <c r="E40" s="77">
        <f>D40/(1-12%)</f>
        <v>4662571.5909090908</v>
      </c>
      <c r="F40" s="55">
        <f t="shared" si="0"/>
        <v>4103063</v>
      </c>
      <c r="G40" s="55">
        <f t="shared" si="1"/>
        <v>4662571.5909090908</v>
      </c>
      <c r="H40" s="55">
        <f t="shared" si="2"/>
        <v>559508.59090909082</v>
      </c>
      <c r="I40" s="59"/>
    </row>
    <row r="41" spans="2:9" ht="16" customHeight="1" x14ac:dyDescent="0.35">
      <c r="B41" s="75" t="s">
        <v>107</v>
      </c>
      <c r="C41" s="63">
        <v>1</v>
      </c>
      <c r="D41" s="54">
        <v>120000</v>
      </c>
      <c r="E41" s="77">
        <v>120000</v>
      </c>
      <c r="F41" s="55">
        <f t="shared" si="0"/>
        <v>120000</v>
      </c>
      <c r="G41" s="55">
        <f t="shared" si="1"/>
        <v>120000</v>
      </c>
      <c r="H41" s="55">
        <f t="shared" si="2"/>
        <v>0</v>
      </c>
      <c r="I41" s="59"/>
    </row>
    <row r="42" spans="2:9" ht="16" customHeight="1" x14ac:dyDescent="0.35">
      <c r="B42" s="75"/>
      <c r="C42" s="78"/>
      <c r="D42" s="54"/>
      <c r="E42" s="77">
        <f>D42/(1-50%)</f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9"/>
    </row>
    <row r="43" spans="2:9" x14ac:dyDescent="0.35">
      <c r="B43" s="43"/>
      <c r="C43" s="79"/>
      <c r="D43" s="54"/>
      <c r="E43" s="77">
        <f>D43/(1-18%)</f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B44" s="43"/>
      <c r="C44" s="79"/>
      <c r="D44" s="54"/>
      <c r="E44" s="77">
        <f>D44/(1-18%)</f>
        <v>0</v>
      </c>
      <c r="F44" s="55">
        <f t="shared" si="0"/>
        <v>0</v>
      </c>
      <c r="G44" s="55">
        <f t="shared" si="1"/>
        <v>0</v>
      </c>
      <c r="H44" s="55">
        <f t="shared" si="2"/>
        <v>0</v>
      </c>
      <c r="I44" s="51"/>
    </row>
    <row r="45" spans="2:9" x14ac:dyDescent="0.35">
      <c r="B45" s="1"/>
      <c r="C45" s="1"/>
      <c r="D45" s="30"/>
      <c r="E45" s="3" t="s">
        <v>41</v>
      </c>
      <c r="F45" s="31">
        <f>SUM(F39:F44)</f>
        <v>7965249</v>
      </c>
      <c r="G45" s="31">
        <f>SUM(G39:G44)</f>
        <v>9035055.6818181816</v>
      </c>
      <c r="H45" s="31">
        <f>SUM(H39:H44)</f>
        <v>1069806.6818181816</v>
      </c>
      <c r="I45" s="1"/>
    </row>
    <row r="46" spans="2:9" x14ac:dyDescent="0.35">
      <c r="B46" s="12" t="s">
        <v>12</v>
      </c>
      <c r="C46" s="1"/>
      <c r="D46" s="1"/>
      <c r="E46" s="1"/>
      <c r="F46" s="1"/>
      <c r="G46" s="2"/>
      <c r="H46" s="1"/>
      <c r="I46" s="1"/>
    </row>
    <row r="47" spans="2:9" x14ac:dyDescent="0.35">
      <c r="B47" s="1"/>
      <c r="C47" s="65"/>
      <c r="D47" s="1"/>
      <c r="E47" s="1"/>
      <c r="F47" s="1"/>
      <c r="G47" s="2"/>
      <c r="H47" s="1"/>
      <c r="I47" s="1"/>
    </row>
    <row r="48" spans="2:9" x14ac:dyDescent="0.35">
      <c r="B48" s="1"/>
      <c r="C48" s="65"/>
      <c r="D48" s="1"/>
      <c r="E48" s="1"/>
      <c r="F48" s="1"/>
      <c r="G48" s="2"/>
      <c r="H48" s="1"/>
      <c r="I48" s="1"/>
    </row>
    <row r="49" spans="4:9" x14ac:dyDescent="0.35">
      <c r="D49" s="65"/>
      <c r="E49" s="1"/>
      <c r="F49" s="1"/>
      <c r="G49" s="2"/>
      <c r="H49" s="1"/>
      <c r="I49" s="1"/>
    </row>
    <row r="50" spans="4:9" x14ac:dyDescent="0.35">
      <c r="D50" s="1"/>
      <c r="E50" s="1"/>
      <c r="F50" s="1"/>
      <c r="G50" s="2"/>
      <c r="H50" s="1"/>
      <c r="I50" s="1"/>
    </row>
  </sheetData>
  <mergeCells count="5">
    <mergeCell ref="B2:C2"/>
    <mergeCell ref="E2:F2"/>
    <mergeCell ref="B3:C3"/>
    <mergeCell ref="E3:F3"/>
    <mergeCell ref="B37:H37"/>
  </mergeCells>
  <hyperlinks>
    <hyperlink ref="I39" r:id="rId1" xr:uid="{510A328F-B630-4E6C-98C5-F52F615782E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D5C6D-FBDE-4194-B7AE-FA1AB4854455}">
  <sheetPr codeName="Hoja12"/>
  <dimension ref="B1:N50"/>
  <sheetViews>
    <sheetView tabSelected="1" topLeftCell="A21" zoomScale="85" zoomScaleNormal="85" workbookViewId="0">
      <selection activeCell="B49" sqref="B49"/>
    </sheetView>
  </sheetViews>
  <sheetFormatPr baseColWidth="10" defaultColWidth="12.453125" defaultRowHeight="14.5" x14ac:dyDescent="0.35"/>
  <cols>
    <col min="1" max="1" width="4" style="72" customWidth="1"/>
    <col min="2" max="2" width="104.54296875" style="72" bestFit="1" customWidth="1"/>
    <col min="3" max="3" width="24.54296875" style="72" bestFit="1" customWidth="1"/>
    <col min="4" max="4" width="13.54296875" style="72" customWidth="1"/>
    <col min="5" max="6" width="17.81640625" style="72" customWidth="1"/>
    <col min="7" max="7" width="19.453125" style="73" customWidth="1"/>
    <col min="8" max="8" width="19.453125" style="72" customWidth="1"/>
    <col min="9" max="9" width="75.54296875" style="74" bestFit="1" customWidth="1"/>
    <col min="10" max="10" width="9.1796875" style="72" bestFit="1" customWidth="1"/>
    <col min="11" max="11" width="13" style="72" bestFit="1" customWidth="1"/>
    <col min="12" max="16384" width="12.453125" style="72"/>
  </cols>
  <sheetData>
    <row r="1" spans="2:11" x14ac:dyDescent="0.35">
      <c r="B1" s="1"/>
      <c r="C1" s="1"/>
      <c r="D1" s="1"/>
      <c r="E1" s="1"/>
      <c r="F1" s="1"/>
      <c r="G1" s="2"/>
      <c r="H1" s="1"/>
      <c r="I1" s="1"/>
      <c r="J1" s="1"/>
      <c r="K1" s="1"/>
    </row>
    <row r="2" spans="2:11" x14ac:dyDescent="0.35">
      <c r="B2" s="143"/>
      <c r="C2" s="144"/>
      <c r="D2" s="1"/>
      <c r="E2" s="145"/>
      <c r="F2" s="145"/>
      <c r="G2" s="2"/>
      <c r="H2" s="1"/>
      <c r="I2" s="1"/>
      <c r="J2" s="1"/>
      <c r="K2" s="1"/>
    </row>
    <row r="3" spans="2:11" x14ac:dyDescent="0.35">
      <c r="B3" s="146"/>
      <c r="C3" s="147"/>
      <c r="D3" s="3" t="s">
        <v>44</v>
      </c>
      <c r="E3" s="145"/>
      <c r="F3" s="145"/>
      <c r="G3" s="2"/>
      <c r="H3" s="3"/>
      <c r="I3" s="1"/>
      <c r="J3" s="1"/>
      <c r="K3" s="1"/>
    </row>
    <row r="4" spans="2:11" x14ac:dyDescent="0.35">
      <c r="B4" s="4" t="s">
        <v>0</v>
      </c>
      <c r="C4" s="4">
        <f>F45</f>
        <v>249579.83</v>
      </c>
      <c r="D4" s="1"/>
      <c r="E4" s="1"/>
      <c r="F4" s="1"/>
      <c r="G4" s="2"/>
      <c r="H4" s="1"/>
      <c r="I4" s="1"/>
      <c r="J4" s="1"/>
      <c r="K4" s="4"/>
    </row>
    <row r="5" spans="2:11" x14ac:dyDescent="0.35">
      <c r="B5" s="4" t="s">
        <v>1</v>
      </c>
      <c r="C5" s="6">
        <f>C4*19%</f>
        <v>47420.167699999998</v>
      </c>
      <c r="D5" s="1"/>
      <c r="E5" s="3" t="s">
        <v>2</v>
      </c>
      <c r="F5" s="1"/>
      <c r="G5" s="2"/>
      <c r="H5" s="1"/>
      <c r="I5" s="1"/>
      <c r="J5" s="1"/>
      <c r="K5" s="4"/>
    </row>
    <row r="6" spans="2:11" x14ac:dyDescent="0.35">
      <c r="B6" s="7" t="s">
        <v>3</v>
      </c>
      <c r="C6" s="8">
        <f>SUM(C4:C5)</f>
        <v>296999.99770000001</v>
      </c>
      <c r="D6" s="1"/>
      <c r="E6" s="1"/>
      <c r="F6" s="1"/>
      <c r="G6" s="2"/>
      <c r="H6" s="1"/>
      <c r="I6" s="1"/>
      <c r="J6" s="1"/>
      <c r="K6" s="4"/>
    </row>
    <row r="7" spans="2:11" x14ac:dyDescent="0.35">
      <c r="B7" s="4"/>
      <c r="C7" s="4"/>
      <c r="D7" s="1"/>
      <c r="E7" s="1"/>
      <c r="F7" s="1"/>
      <c r="G7" s="2"/>
      <c r="H7" s="1"/>
      <c r="I7" s="1"/>
      <c r="J7" s="1"/>
      <c r="K7" s="4"/>
    </row>
    <row r="8" spans="2:11" x14ac:dyDescent="0.35">
      <c r="B8" s="4" t="s">
        <v>4</v>
      </c>
      <c r="C8" s="4">
        <f>G45</f>
        <v>341974.78749999998</v>
      </c>
      <c r="D8" s="1"/>
      <c r="E8" s="1"/>
      <c r="F8" s="1"/>
      <c r="G8" s="2"/>
      <c r="H8" s="1"/>
      <c r="I8" s="1"/>
      <c r="J8" s="1"/>
      <c r="K8" s="4"/>
    </row>
    <row r="9" spans="2:11" x14ac:dyDescent="0.35">
      <c r="B9" s="4" t="s">
        <v>5</v>
      </c>
      <c r="C9" s="6">
        <f>C8*19%</f>
        <v>64975.209624999996</v>
      </c>
      <c r="D9" s="1"/>
      <c r="E9" s="9" t="s">
        <v>6</v>
      </c>
      <c r="F9" s="10"/>
      <c r="G9" s="11"/>
      <c r="H9" s="12"/>
      <c r="I9" s="4"/>
      <c r="J9" s="4"/>
      <c r="K9" s="4"/>
    </row>
    <row r="10" spans="2:11" x14ac:dyDescent="0.35">
      <c r="B10" s="8" t="s">
        <v>7</v>
      </c>
      <c r="C10" s="8">
        <f>C8+C9</f>
        <v>406949.99712499999</v>
      </c>
      <c r="D10" s="1"/>
      <c r="E10" s="12"/>
      <c r="F10" s="12"/>
      <c r="G10" s="2"/>
      <c r="H10" s="13"/>
      <c r="I10" s="4"/>
      <c r="J10" s="4"/>
      <c r="K10" s="4"/>
    </row>
    <row r="11" spans="2:11" x14ac:dyDescent="0.35">
      <c r="B11" s="4"/>
      <c r="C11" s="4"/>
      <c r="D11" s="1"/>
      <c r="E11" s="12"/>
      <c r="F11" s="1"/>
      <c r="G11" s="2"/>
      <c r="H11" s="1"/>
      <c r="I11" s="4"/>
      <c r="J11" s="4"/>
      <c r="K11" s="4"/>
    </row>
    <row r="12" spans="2:11" x14ac:dyDescent="0.35">
      <c r="B12" s="7" t="s">
        <v>8</v>
      </c>
      <c r="C12" s="4">
        <f>C9-C5</f>
        <v>17555.041924999998</v>
      </c>
      <c r="D12" s="1"/>
      <c r="E12" s="13" t="s">
        <v>9</v>
      </c>
      <c r="F12" s="8" t="s">
        <v>10</v>
      </c>
      <c r="G12" s="14" t="s">
        <v>11</v>
      </c>
      <c r="H12" s="1"/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G13" s="2"/>
      <c r="H13" s="1"/>
      <c r="I13" s="4"/>
      <c r="J13" s="4"/>
      <c r="K13" s="4"/>
    </row>
    <row r="14" spans="2:11" x14ac:dyDescent="0.35">
      <c r="B14" s="4" t="s">
        <v>13</v>
      </c>
      <c r="C14" s="4">
        <f>C8-C4</f>
        <v>92394.95749999999</v>
      </c>
      <c r="D14" s="1"/>
      <c r="E14" s="1"/>
      <c r="F14" s="4"/>
      <c r="G14" s="2"/>
      <c r="H14" s="1"/>
      <c r="I14" s="4"/>
      <c r="J14" s="4"/>
      <c r="K14" s="4"/>
    </row>
    <row r="15" spans="2:11" x14ac:dyDescent="0.35">
      <c r="B15" s="4" t="s">
        <v>14</v>
      </c>
      <c r="C15" s="4">
        <v>0</v>
      </c>
      <c r="D15" s="1"/>
      <c r="E15" s="1"/>
      <c r="F15" s="4"/>
      <c r="G15" s="2"/>
      <c r="H15" s="1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D16" s="1"/>
      <c r="E16" s="1"/>
      <c r="F16" s="4"/>
      <c r="G16" s="2"/>
      <c r="H16" s="1"/>
      <c r="I16" s="4"/>
      <c r="J16" s="4"/>
      <c r="K16" s="4"/>
    </row>
    <row r="17" spans="2:14" x14ac:dyDescent="0.35">
      <c r="B17" s="4" t="s">
        <v>16</v>
      </c>
      <c r="C17" s="4">
        <f>C10-C6-C12-C15-C16</f>
        <v>92394.95749999999</v>
      </c>
      <c r="D17" s="1"/>
      <c r="E17" s="1"/>
      <c r="F17" s="4"/>
      <c r="G17" s="2"/>
      <c r="H17" s="1"/>
      <c r="I17" s="4"/>
      <c r="J17" s="4"/>
      <c r="K17" s="4"/>
      <c r="L17" s="1"/>
      <c r="M17" s="1"/>
      <c r="N17" s="1"/>
    </row>
    <row r="18" spans="2:14" x14ac:dyDescent="0.35">
      <c r="B18" s="4"/>
      <c r="C18" s="4"/>
      <c r="D18" s="1"/>
      <c r="E18" s="1"/>
      <c r="F18" s="4"/>
      <c r="G18" s="2"/>
      <c r="H18" s="1"/>
      <c r="I18" s="4"/>
      <c r="J18" s="4"/>
      <c r="K18" s="4"/>
      <c r="L18" s="1"/>
      <c r="M18" s="1"/>
      <c r="N18" s="1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G19" s="2"/>
      <c r="H19" s="1"/>
      <c r="I19" s="4"/>
      <c r="J19" s="4"/>
      <c r="K19" s="4"/>
      <c r="L19" s="1"/>
      <c r="M19" s="1"/>
      <c r="N19" s="1"/>
    </row>
    <row r="20" spans="2:14" x14ac:dyDescent="0.35">
      <c r="B20" s="4"/>
      <c r="C20" s="4"/>
      <c r="D20" s="18"/>
      <c r="E20" s="18"/>
      <c r="F20" s="18"/>
      <c r="G20" s="2"/>
      <c r="H20" s="1"/>
      <c r="I20" s="4"/>
      <c r="J20" s="4"/>
      <c r="K20" s="1"/>
      <c r="L20" s="1"/>
      <c r="M20" s="1"/>
      <c r="N20" s="1"/>
    </row>
    <row r="21" spans="2:14" x14ac:dyDescent="0.35">
      <c r="B21" s="19" t="s">
        <v>18</v>
      </c>
      <c r="C21" s="20">
        <f>C17-C19-C18-C20</f>
        <v>92394.95749999999</v>
      </c>
      <c r="D21" s="1"/>
      <c r="E21" s="1"/>
      <c r="F21" s="1"/>
      <c r="G21" s="2"/>
      <c r="H21" s="1"/>
      <c r="I21" s="4"/>
      <c r="J21" s="4"/>
      <c r="K21" s="1"/>
      <c r="L21" s="1"/>
      <c r="M21" s="1"/>
      <c r="N21" s="1"/>
    </row>
    <row r="22" spans="2:14" x14ac:dyDescent="0.35">
      <c r="B22" s="4"/>
      <c r="C22" s="4"/>
      <c r="D22" s="1"/>
      <c r="E22" s="1"/>
      <c r="F22" s="1"/>
      <c r="G22" s="2"/>
      <c r="H22" s="1"/>
      <c r="I22" s="4"/>
      <c r="J22" s="4"/>
      <c r="K22" s="4"/>
      <c r="L22" s="4"/>
      <c r="M22" s="4"/>
      <c r="N22" s="4"/>
    </row>
    <row r="23" spans="2:14" x14ac:dyDescent="0.35">
      <c r="B23" s="19" t="s">
        <v>19</v>
      </c>
      <c r="C23" s="21">
        <f>C14*12.5%</f>
        <v>11549.369687499999</v>
      </c>
      <c r="D23" s="1"/>
      <c r="E23" s="136" t="s">
        <v>20</v>
      </c>
      <c r="F23" s="136" t="s">
        <v>21</v>
      </c>
      <c r="G23" s="11" t="s">
        <v>22</v>
      </c>
      <c r="H23" s="1"/>
      <c r="I23" s="1"/>
      <c r="J23" s="1"/>
      <c r="K23" s="1"/>
      <c r="L23" s="1"/>
      <c r="M23" s="4"/>
      <c r="N23" s="4"/>
    </row>
    <row r="24" spans="2:14" x14ac:dyDescent="0.35">
      <c r="B24" s="52"/>
      <c r="C24" s="16"/>
      <c r="D24" s="1"/>
      <c r="E24" s="1"/>
      <c r="F24" s="1"/>
      <c r="G24" s="2"/>
      <c r="H24" s="1"/>
      <c r="I24" s="1"/>
      <c r="J24" s="1"/>
      <c r="K24" s="53"/>
      <c r="L24" s="53"/>
      <c r="M24" s="4"/>
      <c r="N24" s="4"/>
    </row>
    <row r="25" spans="2:14" x14ac:dyDescent="0.35">
      <c r="B25" s="19" t="s">
        <v>23</v>
      </c>
      <c r="C25" s="21">
        <f>C21-C23</f>
        <v>80845.587812499987</v>
      </c>
      <c r="D25" s="136" t="s">
        <v>24</v>
      </c>
      <c r="E25" s="8">
        <f>C25*100/C8</f>
        <v>23.640803581901487</v>
      </c>
      <c r="F25" s="3" t="s">
        <v>25</v>
      </c>
      <c r="G25" s="2"/>
      <c r="H25" s="1"/>
      <c r="I25" s="1"/>
      <c r="J25" s="1"/>
      <c r="K25" s="1"/>
      <c r="L25" s="1"/>
      <c r="M25" s="1"/>
      <c r="N25" s="1"/>
    </row>
    <row r="26" spans="2:14" x14ac:dyDescent="0.35">
      <c r="B26" s="1"/>
      <c r="C26" s="1"/>
      <c r="D26" s="1"/>
      <c r="E26" s="1"/>
      <c r="F26" s="1"/>
      <c r="G26" s="2"/>
      <c r="H26" s="1"/>
      <c r="I26" s="1"/>
      <c r="J26" s="1"/>
      <c r="K26" s="1"/>
      <c r="L26" s="1"/>
      <c r="M26" s="1"/>
      <c r="N26" s="1"/>
    </row>
    <row r="27" spans="2:14" x14ac:dyDescent="0.35">
      <c r="B27" s="19" t="s">
        <v>26</v>
      </c>
      <c r="C27" s="21">
        <f>C25*0%</f>
        <v>0</v>
      </c>
      <c r="D27" s="33" t="s">
        <v>27</v>
      </c>
      <c r="E27" s="1"/>
      <c r="F27" s="1"/>
      <c r="G27" s="2"/>
      <c r="H27" s="1"/>
      <c r="I27" s="1"/>
      <c r="J27" s="1"/>
      <c r="K27" s="1"/>
      <c r="L27" s="1"/>
      <c r="M27" s="1"/>
      <c r="N27" s="1"/>
    </row>
    <row r="28" spans="2:14" x14ac:dyDescent="0.35">
      <c r="B28" s="1"/>
      <c r="C28" s="1"/>
      <c r="D28" s="1"/>
      <c r="E28" s="1"/>
      <c r="F28" s="1"/>
      <c r="G28" s="2"/>
      <c r="H28" s="1"/>
      <c r="I28" s="1"/>
      <c r="J28" s="1"/>
      <c r="K28" s="1"/>
      <c r="L28" s="1"/>
      <c r="M28" s="1"/>
      <c r="N28" s="1"/>
    </row>
    <row r="29" spans="2:14" x14ac:dyDescent="0.35">
      <c r="B29" s="19" t="s">
        <v>28</v>
      </c>
      <c r="C29" s="20">
        <f>C25-C27</f>
        <v>80845.587812499987</v>
      </c>
      <c r="D29" s="1"/>
      <c r="E29" s="1"/>
      <c r="F29" s="1"/>
      <c r="G29" s="2"/>
      <c r="H29" s="1"/>
      <c r="I29" s="1"/>
      <c r="J29" s="1"/>
      <c r="K29" s="1"/>
      <c r="L29" s="1"/>
      <c r="M29" s="1"/>
      <c r="N29" s="1"/>
    </row>
    <row r="30" spans="2:14" x14ac:dyDescent="0.35">
      <c r="B30" s="52"/>
      <c r="C30" s="13"/>
      <c r="D30" s="1"/>
      <c r="E30" s="1"/>
      <c r="F30" s="1"/>
      <c r="G30" s="2"/>
      <c r="H30" s="1"/>
      <c r="I30" s="1"/>
      <c r="J30" s="1"/>
      <c r="K30" s="1"/>
      <c r="L30" s="1"/>
      <c r="M30" s="1"/>
      <c r="N30" s="1"/>
    </row>
    <row r="31" spans="2:14" x14ac:dyDescent="0.35">
      <c r="B31" s="19" t="s">
        <v>29</v>
      </c>
      <c r="C31" s="20">
        <v>0</v>
      </c>
      <c r="D31" s="1"/>
      <c r="E31" s="1"/>
      <c r="F31" s="1"/>
      <c r="G31" s="2"/>
      <c r="H31" s="1"/>
      <c r="I31" s="1"/>
      <c r="J31" s="1"/>
      <c r="K31" s="1"/>
      <c r="L31" s="1"/>
      <c r="M31" s="1"/>
      <c r="N31" s="1"/>
    </row>
    <row r="32" spans="2:14" x14ac:dyDescent="0.35">
      <c r="B32" s="52"/>
      <c r="C32" s="16"/>
      <c r="D32" s="1"/>
      <c r="E32" s="1"/>
      <c r="F32" s="1"/>
      <c r="G32" s="2"/>
      <c r="H32" s="1"/>
      <c r="I32" s="1"/>
      <c r="J32" s="1"/>
      <c r="K32" s="1"/>
      <c r="L32" s="1"/>
      <c r="M32" s="1"/>
      <c r="N32" s="1"/>
    </row>
    <row r="33" spans="2:9" x14ac:dyDescent="0.35">
      <c r="B33" s="19" t="s">
        <v>30</v>
      </c>
      <c r="C33" s="20">
        <f>C29*0/100</f>
        <v>0</v>
      </c>
      <c r="D33" s="1"/>
      <c r="E33" s="1"/>
      <c r="F33" s="1"/>
      <c r="G33" s="2"/>
      <c r="H33" s="1"/>
      <c r="I33" s="1"/>
    </row>
    <row r="34" spans="2:9" x14ac:dyDescent="0.35">
      <c r="B34" s="23"/>
      <c r="C34" s="13"/>
      <c r="D34" s="1"/>
      <c r="E34" s="1"/>
      <c r="F34" s="1"/>
      <c r="G34" s="2"/>
      <c r="H34" s="1"/>
      <c r="I34" s="1"/>
    </row>
    <row r="35" spans="2:9" x14ac:dyDescent="0.35">
      <c r="B35" s="19" t="s">
        <v>31</v>
      </c>
      <c r="C35" s="20">
        <f>C29-C31-C33</f>
        <v>80845.587812499987</v>
      </c>
      <c r="D35" s="33" t="s">
        <v>27</v>
      </c>
      <c r="E35" s="16"/>
      <c r="F35" s="16"/>
      <c r="G35" s="2"/>
      <c r="H35" s="12"/>
      <c r="I35" s="1"/>
    </row>
    <row r="36" spans="2:9" x14ac:dyDescent="0.35">
      <c r="B36" s="23"/>
      <c r="C36" s="13"/>
      <c r="D36" s="1"/>
      <c r="E36" s="1"/>
      <c r="F36" s="1"/>
      <c r="G36" s="2"/>
      <c r="H36" s="1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1"/>
    </row>
    <row r="39" spans="2:9" ht="16" customHeight="1" x14ac:dyDescent="0.35">
      <c r="B39" s="66" t="s">
        <v>108</v>
      </c>
      <c r="C39" s="62">
        <v>1</v>
      </c>
      <c r="D39" s="54">
        <v>249579.83</v>
      </c>
      <c r="E39" s="77">
        <f>D39/(1-20%)</f>
        <v>311974.78749999998</v>
      </c>
      <c r="F39" s="55">
        <f t="shared" ref="F39:F44" si="0">D39*C39</f>
        <v>249579.83</v>
      </c>
      <c r="G39" s="55">
        <f t="shared" ref="G39:G44" si="1">E39*C39</f>
        <v>311974.78749999998</v>
      </c>
      <c r="H39" s="55">
        <f t="shared" ref="H39:H44" si="2">G39-F39</f>
        <v>62394.95749999999</v>
      </c>
      <c r="I39" s="59" t="s">
        <v>103</v>
      </c>
    </row>
    <row r="40" spans="2:9" ht="16" customHeight="1" x14ac:dyDescent="0.35">
      <c r="B40" s="66" t="s">
        <v>109</v>
      </c>
      <c r="C40" s="63">
        <v>1</v>
      </c>
      <c r="D40" s="54"/>
      <c r="E40" s="77">
        <v>30000</v>
      </c>
      <c r="F40" s="55">
        <f t="shared" si="0"/>
        <v>0</v>
      </c>
      <c r="G40" s="55">
        <f t="shared" si="1"/>
        <v>30000</v>
      </c>
      <c r="H40" s="55">
        <f t="shared" si="2"/>
        <v>30000</v>
      </c>
      <c r="I40" s="59"/>
    </row>
    <row r="41" spans="2:9" ht="16" customHeight="1" x14ac:dyDescent="0.35">
      <c r="B41" s="66"/>
      <c r="C41" s="63"/>
      <c r="D41" s="54"/>
      <c r="E41" s="77">
        <f>D41/(1-18%)</f>
        <v>0</v>
      </c>
      <c r="F41" s="55">
        <f t="shared" si="0"/>
        <v>0</v>
      </c>
      <c r="G41" s="55">
        <f t="shared" si="1"/>
        <v>0</v>
      </c>
      <c r="H41" s="55">
        <f t="shared" si="2"/>
        <v>0</v>
      </c>
      <c r="I41" s="59"/>
    </row>
    <row r="42" spans="2:9" ht="16" customHeight="1" x14ac:dyDescent="0.35">
      <c r="B42" s="66"/>
      <c r="C42" s="60"/>
      <c r="D42" s="54"/>
      <c r="E42" s="77">
        <f>D42/(1-50%)</f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9"/>
    </row>
    <row r="43" spans="2:9" x14ac:dyDescent="0.35">
      <c r="B43" s="58"/>
      <c r="C43" s="61"/>
      <c r="D43" s="54"/>
      <c r="E43" s="77">
        <f>D43/(1-18%)</f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B44" s="58"/>
      <c r="C44" s="61"/>
      <c r="D44" s="54"/>
      <c r="E44" s="77">
        <f>D44/(1-18%)</f>
        <v>0</v>
      </c>
      <c r="F44" s="55">
        <f t="shared" si="0"/>
        <v>0</v>
      </c>
      <c r="G44" s="55">
        <f t="shared" si="1"/>
        <v>0</v>
      </c>
      <c r="H44" s="55">
        <f t="shared" si="2"/>
        <v>0</v>
      </c>
      <c r="I44" s="51"/>
    </row>
    <row r="45" spans="2:9" x14ac:dyDescent="0.35">
      <c r="B45" s="1"/>
      <c r="C45" s="1"/>
      <c r="D45" s="30"/>
      <c r="E45" s="3" t="s">
        <v>41</v>
      </c>
      <c r="F45" s="31">
        <f>SUM(F39:F44)</f>
        <v>249579.83</v>
      </c>
      <c r="G45" s="31">
        <f>SUM(G39:G44)</f>
        <v>341974.78749999998</v>
      </c>
      <c r="H45" s="31">
        <f>SUM(H39:H44)</f>
        <v>92394.95749999999</v>
      </c>
      <c r="I45" s="1"/>
    </row>
    <row r="46" spans="2:9" x14ac:dyDescent="0.35">
      <c r="B46" s="12" t="s">
        <v>12</v>
      </c>
      <c r="C46" s="1"/>
      <c r="D46" s="1"/>
      <c r="E46" s="1"/>
      <c r="F46" s="1"/>
      <c r="G46" s="2"/>
      <c r="H46" s="1"/>
      <c r="I46" s="1"/>
    </row>
    <row r="47" spans="2:9" x14ac:dyDescent="0.35">
      <c r="B47" s="1"/>
      <c r="C47" s="65"/>
      <c r="D47" s="1"/>
      <c r="E47" s="1"/>
      <c r="F47" s="1"/>
      <c r="G47" s="2"/>
      <c r="H47" s="1"/>
      <c r="I47" s="1"/>
    </row>
    <row r="48" spans="2:9" x14ac:dyDescent="0.35">
      <c r="B48" s="1"/>
      <c r="C48" s="65"/>
      <c r="D48" s="1"/>
      <c r="E48" s="1"/>
      <c r="F48" s="1"/>
      <c r="G48" s="2"/>
      <c r="H48" s="1"/>
      <c r="I48" s="1"/>
    </row>
    <row r="49" spans="4:9" x14ac:dyDescent="0.35">
      <c r="D49" s="65"/>
      <c r="E49" s="1"/>
      <c r="F49" s="1"/>
      <c r="G49" s="2"/>
      <c r="H49" s="1"/>
      <c r="I49" s="1"/>
    </row>
    <row r="50" spans="4:9" x14ac:dyDescent="0.35">
      <c r="D50" s="1"/>
      <c r="E50" s="1"/>
      <c r="F50" s="1"/>
      <c r="G50" s="2"/>
      <c r="H50" s="1"/>
      <c r="I50" s="1"/>
    </row>
  </sheetData>
  <mergeCells count="5">
    <mergeCell ref="B2:C2"/>
    <mergeCell ref="E2:F2"/>
    <mergeCell ref="B3:C3"/>
    <mergeCell ref="E3:F3"/>
    <mergeCell ref="B37:H37"/>
  </mergeCells>
  <hyperlinks>
    <hyperlink ref="I39" r:id="rId1" xr:uid="{27F6157B-2C79-4620-A1F5-46432F1703B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2BFD-8760-46B8-B109-F9714D851B9C}">
  <sheetPr codeName="Hoja13"/>
  <dimension ref="B1:N50"/>
  <sheetViews>
    <sheetView tabSelected="1" topLeftCell="A26" zoomScale="85" zoomScaleNormal="85" workbookViewId="0">
      <selection activeCell="B49" sqref="B49"/>
    </sheetView>
  </sheetViews>
  <sheetFormatPr baseColWidth="10" defaultColWidth="12.453125" defaultRowHeight="14.5" x14ac:dyDescent="0.35"/>
  <cols>
    <col min="1" max="1" width="4" style="1" customWidth="1"/>
    <col min="2" max="2" width="104.54296875" style="1" bestFit="1" customWidth="1"/>
    <col min="3" max="3" width="24.54296875" style="1" bestFit="1" customWidth="1"/>
    <col min="4" max="4" width="13.54296875" style="1" customWidth="1"/>
    <col min="5" max="6" width="17.81640625" style="1" customWidth="1"/>
    <col min="7" max="7" width="19.453125" style="2" customWidth="1"/>
    <col min="8" max="8" width="19.453125" style="1" customWidth="1"/>
    <col min="9" max="9" width="75.54296875" style="76" bestFit="1" customWidth="1"/>
    <col min="10" max="10" width="9.1796875" style="1" bestFit="1" customWidth="1"/>
    <col min="11" max="11" width="13" style="1" bestFit="1" customWidth="1"/>
    <col min="12" max="16384" width="12.453125" style="1"/>
  </cols>
  <sheetData>
    <row r="1" spans="2:11" x14ac:dyDescent="0.35">
      <c r="I1" s="1"/>
    </row>
    <row r="2" spans="2:11" ht="15" customHeight="1" x14ac:dyDescent="0.35">
      <c r="B2" s="143" t="s">
        <v>110</v>
      </c>
      <c r="C2" s="144"/>
      <c r="E2" s="145"/>
      <c r="F2" s="145"/>
      <c r="I2" s="1"/>
    </row>
    <row r="3" spans="2:11" x14ac:dyDescent="0.35">
      <c r="B3" s="146" t="s">
        <v>111</v>
      </c>
      <c r="C3" s="147"/>
      <c r="D3" s="3" t="s">
        <v>44</v>
      </c>
      <c r="E3" s="145"/>
      <c r="F3" s="145"/>
      <c r="H3" s="3"/>
      <c r="I3" s="1"/>
    </row>
    <row r="4" spans="2:11" x14ac:dyDescent="0.35">
      <c r="B4" s="4" t="s">
        <v>0</v>
      </c>
      <c r="C4" s="4">
        <f>F45</f>
        <v>346117.64</v>
      </c>
      <c r="I4" s="1"/>
      <c r="K4" s="4"/>
    </row>
    <row r="5" spans="2:11" x14ac:dyDescent="0.35">
      <c r="B5" s="4" t="s">
        <v>1</v>
      </c>
      <c r="C5" s="6">
        <f>C4*19%</f>
        <v>65762.351600000009</v>
      </c>
      <c r="E5" s="3" t="s">
        <v>2</v>
      </c>
      <c r="I5" s="1"/>
      <c r="K5" s="4"/>
    </row>
    <row r="6" spans="2:11" x14ac:dyDescent="0.35">
      <c r="B6" s="7" t="s">
        <v>3</v>
      </c>
      <c r="C6" s="8">
        <f>SUM(C4:C5)</f>
        <v>411879.99160000001</v>
      </c>
      <c r="I6" s="1"/>
      <c r="K6" s="4"/>
    </row>
    <row r="7" spans="2:11" x14ac:dyDescent="0.35">
      <c r="B7" s="4"/>
      <c r="C7" s="4"/>
      <c r="I7" s="1"/>
      <c r="K7" s="4"/>
    </row>
    <row r="8" spans="2:11" x14ac:dyDescent="0.35">
      <c r="B8" s="4" t="s">
        <v>4</v>
      </c>
      <c r="C8" s="4">
        <f>G45</f>
        <v>458156.85333333333</v>
      </c>
      <c r="I8" s="1"/>
      <c r="K8" s="4"/>
    </row>
    <row r="9" spans="2:11" x14ac:dyDescent="0.35">
      <c r="B9" s="4" t="s">
        <v>5</v>
      </c>
      <c r="C9" s="6">
        <f>C8*19%</f>
        <v>87049.802133333331</v>
      </c>
      <c r="E9" s="9" t="s">
        <v>6</v>
      </c>
      <c r="F9" s="10"/>
      <c r="G9" s="11"/>
      <c r="H9" s="12"/>
      <c r="I9" s="4"/>
      <c r="J9" s="4"/>
      <c r="K9" s="4"/>
    </row>
    <row r="10" spans="2:11" x14ac:dyDescent="0.35">
      <c r="B10" s="8" t="s">
        <v>7</v>
      </c>
      <c r="C10" s="8">
        <f>C8+C9</f>
        <v>545206.65546666668</v>
      </c>
      <c r="E10" s="12"/>
      <c r="F10" s="12"/>
      <c r="H10" s="13"/>
      <c r="I10" s="4"/>
      <c r="J10" s="4"/>
      <c r="K10" s="4"/>
    </row>
    <row r="11" spans="2:11" x14ac:dyDescent="0.35">
      <c r="B11" s="4"/>
      <c r="C11" s="4"/>
      <c r="E11" s="12"/>
      <c r="I11" s="4"/>
      <c r="J11" s="4"/>
      <c r="K11" s="4"/>
    </row>
    <row r="12" spans="2:11" x14ac:dyDescent="0.35">
      <c r="B12" s="7" t="s">
        <v>8</v>
      </c>
      <c r="C12" s="4">
        <f>C9-C5</f>
        <v>21287.450533333322</v>
      </c>
      <c r="E12" s="13" t="s">
        <v>9</v>
      </c>
      <c r="F12" s="8" t="s">
        <v>10</v>
      </c>
      <c r="G12" s="14" t="s">
        <v>11</v>
      </c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I13" s="4"/>
      <c r="J13" s="4"/>
      <c r="K13" s="4"/>
    </row>
    <row r="14" spans="2:11" x14ac:dyDescent="0.35">
      <c r="B14" s="4" t="s">
        <v>13</v>
      </c>
      <c r="C14" s="4">
        <f>C8-C4</f>
        <v>112039.21333333332</v>
      </c>
      <c r="F14" s="4"/>
      <c r="I14" s="4"/>
      <c r="J14" s="4"/>
      <c r="K14" s="4"/>
    </row>
    <row r="15" spans="2:11" x14ac:dyDescent="0.35">
      <c r="B15" s="4" t="s">
        <v>14</v>
      </c>
      <c r="C15" s="4">
        <v>0</v>
      </c>
      <c r="F15" s="4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F16" s="4"/>
      <c r="I16" s="4"/>
      <c r="J16" s="4"/>
      <c r="K16" s="4"/>
    </row>
    <row r="17" spans="2:14" x14ac:dyDescent="0.35">
      <c r="B17" s="4" t="s">
        <v>16</v>
      </c>
      <c r="C17" s="4">
        <f>C10-C6-C12-C15-C16</f>
        <v>112039.21333333335</v>
      </c>
      <c r="F17" s="4"/>
      <c r="I17" s="4"/>
      <c r="J17" s="4"/>
      <c r="K17" s="4"/>
    </row>
    <row r="18" spans="2:14" x14ac:dyDescent="0.35">
      <c r="B18" s="4"/>
      <c r="C18" s="4"/>
      <c r="F18" s="4"/>
      <c r="I18" s="4"/>
      <c r="J18" s="4"/>
      <c r="K18" s="4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I19" s="4"/>
      <c r="J19" s="4"/>
      <c r="K19" s="4"/>
    </row>
    <row r="20" spans="2:14" x14ac:dyDescent="0.35">
      <c r="B20" s="4"/>
      <c r="C20" s="4"/>
      <c r="D20" s="18"/>
      <c r="E20" s="18"/>
      <c r="F20" s="18"/>
      <c r="I20" s="4"/>
      <c r="J20" s="4"/>
    </row>
    <row r="21" spans="2:14" x14ac:dyDescent="0.35">
      <c r="B21" s="19" t="s">
        <v>18</v>
      </c>
      <c r="C21" s="20">
        <f>C17-C19-C18-C20</f>
        <v>112039.21333333335</v>
      </c>
      <c r="I21" s="4"/>
      <c r="J21" s="4"/>
    </row>
    <row r="22" spans="2:14" x14ac:dyDescent="0.35">
      <c r="B22" s="4"/>
      <c r="C22" s="4"/>
      <c r="I22" s="4"/>
      <c r="J22" s="4"/>
      <c r="K22" s="4"/>
      <c r="L22" s="4"/>
      <c r="M22" s="4"/>
      <c r="N22" s="4"/>
    </row>
    <row r="23" spans="2:14" x14ac:dyDescent="0.35">
      <c r="B23" s="19" t="s">
        <v>19</v>
      </c>
      <c r="C23" s="21">
        <f>C14*12.5%</f>
        <v>14004.901666666665</v>
      </c>
      <c r="E23" s="136" t="s">
        <v>20</v>
      </c>
      <c r="F23" s="136" t="s">
        <v>21</v>
      </c>
      <c r="G23" s="11" t="s">
        <v>22</v>
      </c>
      <c r="I23" s="1"/>
      <c r="M23" s="4"/>
      <c r="N23" s="4"/>
    </row>
    <row r="24" spans="2:14" x14ac:dyDescent="0.35">
      <c r="B24" s="52"/>
      <c r="C24" s="16"/>
      <c r="I24" s="1"/>
      <c r="K24" s="53"/>
      <c r="L24" s="53"/>
      <c r="M24" s="4"/>
      <c r="N24" s="4"/>
    </row>
    <row r="25" spans="2:14" x14ac:dyDescent="0.35">
      <c r="B25" s="19" t="s">
        <v>23</v>
      </c>
      <c r="C25" s="21">
        <f>C21-C23</f>
        <v>98034.311666666676</v>
      </c>
      <c r="D25" s="136" t="s">
        <v>24</v>
      </c>
      <c r="E25" s="8">
        <f>C25*100/C8</f>
        <v>21.39754342937691</v>
      </c>
      <c r="F25" s="3" t="s">
        <v>25</v>
      </c>
      <c r="I25" s="1"/>
    </row>
    <row r="26" spans="2:14" x14ac:dyDescent="0.35">
      <c r="I26" s="1"/>
    </row>
    <row r="27" spans="2:14" x14ac:dyDescent="0.35">
      <c r="B27" s="19" t="s">
        <v>26</v>
      </c>
      <c r="C27" s="21">
        <f>C25*0%</f>
        <v>0</v>
      </c>
      <c r="D27" s="33" t="s">
        <v>27</v>
      </c>
      <c r="I27" s="1"/>
    </row>
    <row r="28" spans="2:14" x14ac:dyDescent="0.35">
      <c r="I28" s="1"/>
    </row>
    <row r="29" spans="2:14" x14ac:dyDescent="0.35">
      <c r="B29" s="19" t="s">
        <v>28</v>
      </c>
      <c r="C29" s="20">
        <f>C25-C27</f>
        <v>98034.311666666676</v>
      </c>
      <c r="I29" s="1"/>
    </row>
    <row r="30" spans="2:14" x14ac:dyDescent="0.35">
      <c r="B30" s="52"/>
      <c r="C30" s="13"/>
      <c r="I30" s="1"/>
    </row>
    <row r="31" spans="2:14" x14ac:dyDescent="0.35">
      <c r="B31" s="19" t="s">
        <v>29</v>
      </c>
      <c r="C31" s="20">
        <v>0</v>
      </c>
      <c r="I31" s="1"/>
    </row>
    <row r="32" spans="2:14" x14ac:dyDescent="0.35">
      <c r="B32" s="52"/>
      <c r="C32" s="16"/>
      <c r="I32" s="1"/>
    </row>
    <row r="33" spans="2:9" x14ac:dyDescent="0.35">
      <c r="B33" s="19" t="s">
        <v>30</v>
      </c>
      <c r="C33" s="20">
        <f>C29*0/100</f>
        <v>0</v>
      </c>
      <c r="I33" s="1"/>
    </row>
    <row r="34" spans="2:9" x14ac:dyDescent="0.35">
      <c r="B34" s="23"/>
      <c r="C34" s="13"/>
      <c r="I34" s="1"/>
    </row>
    <row r="35" spans="2:9" x14ac:dyDescent="0.35">
      <c r="B35" s="19" t="s">
        <v>31</v>
      </c>
      <c r="C35" s="20">
        <f>C29-C31-C33</f>
        <v>98034.311666666676</v>
      </c>
      <c r="D35" s="33" t="s">
        <v>27</v>
      </c>
      <c r="E35" s="16"/>
      <c r="F35" s="16"/>
      <c r="H35" s="12"/>
      <c r="I35" s="1"/>
    </row>
    <row r="36" spans="2:9" x14ac:dyDescent="0.35">
      <c r="B36" s="23"/>
      <c r="C36" s="13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1"/>
    </row>
    <row r="39" spans="2:9" ht="16" customHeight="1" x14ac:dyDescent="0.35">
      <c r="B39" s="66" t="s">
        <v>112</v>
      </c>
      <c r="C39" s="62">
        <v>2</v>
      </c>
      <c r="D39" s="54">
        <v>168058.82</v>
      </c>
      <c r="E39" s="77">
        <f>D39/(1-25%)</f>
        <v>224078.42666666667</v>
      </c>
      <c r="F39" s="55">
        <f t="shared" ref="F39:F44" si="0">D39*C39</f>
        <v>336117.64</v>
      </c>
      <c r="G39" s="55">
        <f t="shared" ref="G39:G44" si="1">E39*C39</f>
        <v>448156.85333333333</v>
      </c>
      <c r="H39" s="55">
        <f t="shared" ref="H39:H44" si="2">G39-F39</f>
        <v>112039.21333333332</v>
      </c>
      <c r="I39" s="59" t="s">
        <v>103</v>
      </c>
    </row>
    <row r="40" spans="2:9" ht="16" customHeight="1" x14ac:dyDescent="0.35">
      <c r="B40" s="66" t="s">
        <v>109</v>
      </c>
      <c r="C40" s="63">
        <v>1</v>
      </c>
      <c r="D40" s="54">
        <v>10000</v>
      </c>
      <c r="E40" s="77">
        <v>10000</v>
      </c>
      <c r="F40" s="55">
        <f t="shared" si="0"/>
        <v>10000</v>
      </c>
      <c r="G40" s="55">
        <f t="shared" si="1"/>
        <v>10000</v>
      </c>
      <c r="H40" s="55">
        <f t="shared" si="2"/>
        <v>0</v>
      </c>
      <c r="I40" s="59"/>
    </row>
    <row r="41" spans="2:9" ht="16" customHeight="1" x14ac:dyDescent="0.35">
      <c r="B41" s="66"/>
      <c r="C41" s="63"/>
      <c r="D41" s="54"/>
      <c r="E41" s="77">
        <f>D41/(1-18%)</f>
        <v>0</v>
      </c>
      <c r="F41" s="55">
        <f t="shared" si="0"/>
        <v>0</v>
      </c>
      <c r="G41" s="55">
        <f t="shared" si="1"/>
        <v>0</v>
      </c>
      <c r="H41" s="55">
        <f t="shared" si="2"/>
        <v>0</v>
      </c>
      <c r="I41" s="59"/>
    </row>
    <row r="42" spans="2:9" ht="16" customHeight="1" x14ac:dyDescent="0.35">
      <c r="B42" s="66"/>
      <c r="C42" s="60"/>
      <c r="D42" s="54"/>
      <c r="E42" s="77">
        <f>D42/(1-50%)</f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9"/>
    </row>
    <row r="43" spans="2:9" x14ac:dyDescent="0.35">
      <c r="B43" s="58"/>
      <c r="C43" s="61"/>
      <c r="D43" s="54"/>
      <c r="E43" s="77">
        <f>D43/(1-18%)</f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B44" s="58"/>
      <c r="C44" s="61"/>
      <c r="D44" s="54"/>
      <c r="E44" s="77">
        <f>D44/(1-18%)</f>
        <v>0</v>
      </c>
      <c r="F44" s="55">
        <f t="shared" si="0"/>
        <v>0</v>
      </c>
      <c r="G44" s="55">
        <f t="shared" si="1"/>
        <v>0</v>
      </c>
      <c r="H44" s="55">
        <f t="shared" si="2"/>
        <v>0</v>
      </c>
      <c r="I44" s="51"/>
    </row>
    <row r="45" spans="2:9" x14ac:dyDescent="0.35">
      <c r="D45" s="30"/>
      <c r="E45" s="3" t="s">
        <v>41</v>
      </c>
      <c r="F45" s="31">
        <f>SUM(F39:F44)</f>
        <v>346117.64</v>
      </c>
      <c r="G45" s="31">
        <f>SUM(G39:G44)</f>
        <v>458156.85333333333</v>
      </c>
      <c r="H45" s="31">
        <f>SUM(H39:H44)</f>
        <v>112039.21333333332</v>
      </c>
      <c r="I45" s="1"/>
    </row>
    <row r="46" spans="2:9" x14ac:dyDescent="0.35">
      <c r="B46" s="12" t="s">
        <v>12</v>
      </c>
      <c r="I46" s="1"/>
    </row>
    <row r="47" spans="2:9" x14ac:dyDescent="0.35">
      <c r="C47" s="65"/>
      <c r="I47" s="1"/>
    </row>
    <row r="48" spans="2:9" x14ac:dyDescent="0.35">
      <c r="C48" s="65"/>
      <c r="I48" s="1"/>
    </row>
    <row r="49" spans="4:9" x14ac:dyDescent="0.35">
      <c r="D49" s="65"/>
      <c r="I49" s="1"/>
    </row>
    <row r="50" spans="4:9" x14ac:dyDescent="0.35">
      <c r="I50" s="1"/>
    </row>
  </sheetData>
  <mergeCells count="5">
    <mergeCell ref="B2:C2"/>
    <mergeCell ref="E2:F2"/>
    <mergeCell ref="B3:C3"/>
    <mergeCell ref="E3:F3"/>
    <mergeCell ref="B37:H37"/>
  </mergeCells>
  <hyperlinks>
    <hyperlink ref="I39" r:id="rId1" xr:uid="{BE6F9164-7967-48AC-80E2-3512BE4B7B1D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E6032-DADC-41BF-A08B-BB478E1B5BA7}">
  <sheetPr codeName="Hoja14"/>
  <dimension ref="B1:N50"/>
  <sheetViews>
    <sheetView tabSelected="1" topLeftCell="A21" zoomScale="85" zoomScaleNormal="85" workbookViewId="0">
      <selection activeCell="B49" sqref="B49"/>
    </sheetView>
  </sheetViews>
  <sheetFormatPr baseColWidth="10" defaultColWidth="12.453125" defaultRowHeight="14.5" x14ac:dyDescent="0.35"/>
  <cols>
    <col min="1" max="1" width="4" style="1" customWidth="1"/>
    <col min="2" max="2" width="104.54296875" style="1" bestFit="1" customWidth="1"/>
    <col min="3" max="3" width="24.54296875" style="1" bestFit="1" customWidth="1"/>
    <col min="4" max="4" width="13.54296875" style="1" customWidth="1"/>
    <col min="5" max="6" width="17.81640625" style="1" customWidth="1"/>
    <col min="7" max="7" width="19.453125" style="2" customWidth="1"/>
    <col min="8" max="8" width="19.453125" style="1" customWidth="1"/>
    <col min="9" max="9" width="75.54296875" style="76" bestFit="1" customWidth="1"/>
    <col min="10" max="10" width="9.1796875" style="1" bestFit="1" customWidth="1"/>
    <col min="11" max="11" width="13" style="1" bestFit="1" customWidth="1"/>
    <col min="12" max="16384" width="12.453125" style="1"/>
  </cols>
  <sheetData>
    <row r="1" spans="2:11" x14ac:dyDescent="0.35">
      <c r="I1" s="1"/>
    </row>
    <row r="2" spans="2:11" ht="15" customHeight="1" x14ac:dyDescent="0.35">
      <c r="B2" s="143"/>
      <c r="C2" s="144"/>
      <c r="E2" s="145"/>
      <c r="F2" s="145"/>
      <c r="I2" s="1"/>
    </row>
    <row r="3" spans="2:11" x14ac:dyDescent="0.35">
      <c r="B3" s="146"/>
      <c r="C3" s="147"/>
      <c r="D3" s="3" t="s">
        <v>44</v>
      </c>
      <c r="E3" s="145"/>
      <c r="F3" s="145"/>
      <c r="H3" s="3"/>
      <c r="I3" s="1"/>
    </row>
    <row r="4" spans="2:11" x14ac:dyDescent="0.35">
      <c r="B4" s="4" t="s">
        <v>0</v>
      </c>
      <c r="C4" s="4">
        <f>F45</f>
        <v>2620000</v>
      </c>
      <c r="I4" s="1"/>
      <c r="K4" s="4"/>
    </row>
    <row r="5" spans="2:11" x14ac:dyDescent="0.35">
      <c r="B5" s="4" t="s">
        <v>1</v>
      </c>
      <c r="C5" s="6">
        <f>C4*19%</f>
        <v>497800</v>
      </c>
      <c r="E5" s="3" t="s">
        <v>2</v>
      </c>
      <c r="I5" s="1"/>
      <c r="K5" s="4"/>
    </row>
    <row r="6" spans="2:11" x14ac:dyDescent="0.35">
      <c r="B6" s="7" t="s">
        <v>3</v>
      </c>
      <c r="C6" s="8">
        <f>SUM(C4:C5)</f>
        <v>3117800</v>
      </c>
      <c r="I6" s="1"/>
      <c r="K6" s="4"/>
    </row>
    <row r="7" spans="2:11" x14ac:dyDescent="0.35">
      <c r="B7" s="4"/>
      <c r="C7" s="4"/>
      <c r="I7" s="1"/>
      <c r="K7" s="4"/>
    </row>
    <row r="8" spans="2:11" x14ac:dyDescent="0.35">
      <c r="B8" s="4" t="s">
        <v>4</v>
      </c>
      <c r="C8" s="4">
        <f>G45</f>
        <v>3195121.9512195121</v>
      </c>
      <c r="I8" s="1"/>
      <c r="K8" s="4"/>
    </row>
    <row r="9" spans="2:11" x14ac:dyDescent="0.35">
      <c r="B9" s="4" t="s">
        <v>5</v>
      </c>
      <c r="C9" s="6">
        <f>C8*19%</f>
        <v>607073.17073170736</v>
      </c>
      <c r="E9" s="9" t="s">
        <v>6</v>
      </c>
      <c r="F9" s="10"/>
      <c r="G9" s="11"/>
      <c r="H9" s="12"/>
      <c r="I9" s="4"/>
      <c r="J9" s="4"/>
      <c r="K9" s="4"/>
    </row>
    <row r="10" spans="2:11" x14ac:dyDescent="0.35">
      <c r="B10" s="8" t="s">
        <v>7</v>
      </c>
      <c r="C10" s="8">
        <f>C8+C9</f>
        <v>3802195.1219512196</v>
      </c>
      <c r="E10" s="12"/>
      <c r="F10" s="12"/>
      <c r="H10" s="13"/>
      <c r="I10" s="4"/>
      <c r="J10" s="4"/>
      <c r="K10" s="4"/>
    </row>
    <row r="11" spans="2:11" x14ac:dyDescent="0.35">
      <c r="B11" s="4"/>
      <c r="C11" s="4"/>
      <c r="E11" s="12"/>
      <c r="I11" s="4"/>
      <c r="J11" s="4"/>
      <c r="K11" s="4"/>
    </row>
    <row r="12" spans="2:11" x14ac:dyDescent="0.35">
      <c r="B12" s="7" t="s">
        <v>8</v>
      </c>
      <c r="C12" s="4">
        <f>C9-C5</f>
        <v>109273.17073170736</v>
      </c>
      <c r="E12" s="13" t="s">
        <v>9</v>
      </c>
      <c r="F12" s="8" t="s">
        <v>10</v>
      </c>
      <c r="G12" s="14" t="s">
        <v>11</v>
      </c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I13" s="4"/>
      <c r="J13" s="4"/>
      <c r="K13" s="4"/>
    </row>
    <row r="14" spans="2:11" x14ac:dyDescent="0.35">
      <c r="B14" s="4" t="s">
        <v>13</v>
      </c>
      <c r="C14" s="4">
        <f>C8-C4</f>
        <v>575121.95121951215</v>
      </c>
      <c r="F14" s="4"/>
      <c r="I14" s="4"/>
      <c r="J14" s="4"/>
      <c r="K14" s="4"/>
    </row>
    <row r="15" spans="2:11" x14ac:dyDescent="0.35">
      <c r="B15" s="4" t="s">
        <v>14</v>
      </c>
      <c r="C15" s="4"/>
      <c r="F15" s="4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F16" s="4"/>
      <c r="I16" s="4"/>
      <c r="J16" s="4"/>
      <c r="K16" s="4"/>
    </row>
    <row r="17" spans="2:14" x14ac:dyDescent="0.35">
      <c r="B17" s="4" t="s">
        <v>16</v>
      </c>
      <c r="C17" s="4">
        <f>C10-C6-C12-C15-C16</f>
        <v>575121.95121951227</v>
      </c>
      <c r="F17" s="4"/>
      <c r="I17" s="4"/>
      <c r="J17" s="4"/>
      <c r="K17" s="4"/>
    </row>
    <row r="18" spans="2:14" x14ac:dyDescent="0.35">
      <c r="B18" s="4"/>
      <c r="C18" s="4"/>
      <c r="F18" s="4"/>
      <c r="I18" s="4"/>
      <c r="J18" s="4"/>
      <c r="K18" s="4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I19" s="4"/>
      <c r="J19" s="4"/>
      <c r="K19" s="4"/>
    </row>
    <row r="20" spans="2:14" x14ac:dyDescent="0.35">
      <c r="B20" s="4"/>
      <c r="C20" s="4"/>
      <c r="D20" s="18"/>
      <c r="E20" s="18"/>
      <c r="F20" s="18"/>
      <c r="I20" s="4"/>
      <c r="J20" s="4"/>
    </row>
    <row r="21" spans="2:14" x14ac:dyDescent="0.35">
      <c r="B21" s="19" t="s">
        <v>18</v>
      </c>
      <c r="C21" s="20">
        <f>C17-C19-C18-C20</f>
        <v>575121.95121951227</v>
      </c>
      <c r="I21" s="4"/>
      <c r="J21" s="4"/>
    </row>
    <row r="22" spans="2:14" x14ac:dyDescent="0.35">
      <c r="B22" s="4"/>
      <c r="C22" s="4"/>
      <c r="I22" s="4"/>
      <c r="J22" s="4"/>
      <c r="K22" s="4"/>
      <c r="L22" s="4"/>
      <c r="M22" s="4"/>
      <c r="N22" s="4"/>
    </row>
    <row r="23" spans="2:14" x14ac:dyDescent="0.35">
      <c r="B23" s="19" t="s">
        <v>19</v>
      </c>
      <c r="C23" s="21">
        <f>C14*12.5%</f>
        <v>71890.243902439019</v>
      </c>
      <c r="E23" s="136" t="s">
        <v>20</v>
      </c>
      <c r="F23" s="136" t="s">
        <v>21</v>
      </c>
      <c r="G23" s="11" t="s">
        <v>22</v>
      </c>
      <c r="I23" s="1"/>
      <c r="M23" s="4"/>
      <c r="N23" s="4"/>
    </row>
    <row r="24" spans="2:14" x14ac:dyDescent="0.35">
      <c r="B24" s="52"/>
      <c r="C24" s="16"/>
      <c r="I24" s="1"/>
      <c r="K24" s="53"/>
      <c r="L24" s="53"/>
      <c r="M24" s="4"/>
      <c r="N24" s="4"/>
    </row>
    <row r="25" spans="2:14" x14ac:dyDescent="0.35">
      <c r="B25" s="19" t="s">
        <v>23</v>
      </c>
      <c r="C25" s="21">
        <f>C21-C23</f>
        <v>503231.70731707325</v>
      </c>
      <c r="D25" s="136" t="s">
        <v>24</v>
      </c>
      <c r="E25" s="8">
        <f>C25*100/C8</f>
        <v>15.750000000000004</v>
      </c>
      <c r="F25" s="3" t="s">
        <v>25</v>
      </c>
      <c r="I25" s="1"/>
    </row>
    <row r="26" spans="2:14" x14ac:dyDescent="0.35">
      <c r="I26" s="1"/>
    </row>
    <row r="27" spans="2:14" x14ac:dyDescent="0.35">
      <c r="B27" s="19" t="s">
        <v>26</v>
      </c>
      <c r="C27" s="21">
        <f>C25*0%</f>
        <v>0</v>
      </c>
      <c r="D27" s="33" t="s">
        <v>27</v>
      </c>
      <c r="I27" s="1"/>
    </row>
    <row r="28" spans="2:14" x14ac:dyDescent="0.35">
      <c r="I28" s="1"/>
    </row>
    <row r="29" spans="2:14" x14ac:dyDescent="0.35">
      <c r="B29" s="19" t="s">
        <v>28</v>
      </c>
      <c r="C29" s="20">
        <f>C25-C27</f>
        <v>503231.70731707325</v>
      </c>
      <c r="I29" s="1"/>
    </row>
    <row r="30" spans="2:14" x14ac:dyDescent="0.35">
      <c r="B30" s="52"/>
      <c r="C30" s="13"/>
      <c r="I30" s="1"/>
    </row>
    <row r="31" spans="2:14" x14ac:dyDescent="0.35">
      <c r="B31" s="19" t="s">
        <v>29</v>
      </c>
      <c r="C31" s="20">
        <v>0</v>
      </c>
      <c r="I31" s="1"/>
    </row>
    <row r="32" spans="2:14" x14ac:dyDescent="0.35">
      <c r="B32" s="52"/>
      <c r="C32" s="16"/>
      <c r="I32" s="1"/>
    </row>
    <row r="33" spans="2:9" x14ac:dyDescent="0.35">
      <c r="B33" s="19" t="s">
        <v>30</v>
      </c>
      <c r="C33" s="20">
        <f>C29*0/100</f>
        <v>0</v>
      </c>
      <c r="I33" s="1"/>
    </row>
    <row r="34" spans="2:9" x14ac:dyDescent="0.35">
      <c r="B34" s="23"/>
      <c r="C34" s="13"/>
      <c r="I34" s="1"/>
    </row>
    <row r="35" spans="2:9" x14ac:dyDescent="0.35">
      <c r="B35" s="19" t="s">
        <v>31</v>
      </c>
      <c r="C35" s="20">
        <f>C29-C31-C33</f>
        <v>503231.70731707325</v>
      </c>
      <c r="D35" s="33" t="s">
        <v>27</v>
      </c>
      <c r="E35" s="16"/>
      <c r="F35" s="16"/>
      <c r="H35" s="12"/>
      <c r="I35" s="1"/>
    </row>
    <row r="36" spans="2:9" x14ac:dyDescent="0.35">
      <c r="B36" s="23"/>
      <c r="C36" s="13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1"/>
    </row>
    <row r="39" spans="2:9" ht="16" customHeight="1" x14ac:dyDescent="0.35">
      <c r="B39" s="66" t="s">
        <v>113</v>
      </c>
      <c r="C39" s="62">
        <v>1</v>
      </c>
      <c r="D39" s="54">
        <v>2620000</v>
      </c>
      <c r="E39" s="77">
        <f t="shared" ref="E39:E43" si="0">D39/(1-18%)</f>
        <v>3195121.9512195121</v>
      </c>
      <c r="F39" s="55">
        <f t="shared" ref="F39:F44" si="1">D39*C39</f>
        <v>2620000</v>
      </c>
      <c r="G39" s="55">
        <f t="shared" ref="G39:G44" si="2">E39*C39</f>
        <v>3195121.9512195121</v>
      </c>
      <c r="H39" s="55">
        <f t="shared" ref="H39:H44" si="3">G39-F39</f>
        <v>575121.95121951215</v>
      </c>
      <c r="I39" s="59" t="s">
        <v>103</v>
      </c>
    </row>
    <row r="40" spans="2:9" ht="16" customHeight="1" x14ac:dyDescent="0.35">
      <c r="B40" s="66"/>
      <c r="C40" s="63"/>
      <c r="D40" s="54"/>
      <c r="E40" s="77">
        <f t="shared" si="0"/>
        <v>0</v>
      </c>
      <c r="F40" s="55">
        <f t="shared" si="1"/>
        <v>0</v>
      </c>
      <c r="G40" s="55">
        <f t="shared" si="2"/>
        <v>0</v>
      </c>
      <c r="H40" s="55">
        <f t="shared" si="3"/>
        <v>0</v>
      </c>
      <c r="I40" s="59"/>
    </row>
    <row r="41" spans="2:9" ht="16" customHeight="1" x14ac:dyDescent="0.35">
      <c r="B41" s="66"/>
      <c r="C41" s="63"/>
      <c r="D41" s="54"/>
      <c r="E41" s="77">
        <f t="shared" si="0"/>
        <v>0</v>
      </c>
      <c r="F41" s="55">
        <f t="shared" si="1"/>
        <v>0</v>
      </c>
      <c r="G41" s="55">
        <f t="shared" si="2"/>
        <v>0</v>
      </c>
      <c r="H41" s="55">
        <f t="shared" si="3"/>
        <v>0</v>
      </c>
      <c r="I41" s="59"/>
    </row>
    <row r="42" spans="2:9" ht="16" customHeight="1" x14ac:dyDescent="0.35">
      <c r="B42" s="66"/>
      <c r="C42" s="60"/>
      <c r="D42" s="54"/>
      <c r="E42" s="77">
        <f t="shared" si="0"/>
        <v>0</v>
      </c>
      <c r="F42" s="55">
        <f t="shared" si="1"/>
        <v>0</v>
      </c>
      <c r="G42" s="55">
        <f t="shared" si="2"/>
        <v>0</v>
      </c>
      <c r="H42" s="55">
        <f t="shared" si="3"/>
        <v>0</v>
      </c>
      <c r="I42" s="59"/>
    </row>
    <row r="43" spans="2:9" x14ac:dyDescent="0.35">
      <c r="B43" s="58"/>
      <c r="C43" s="61"/>
      <c r="D43" s="54"/>
      <c r="E43" s="77">
        <f t="shared" si="0"/>
        <v>0</v>
      </c>
      <c r="F43" s="55">
        <f t="shared" si="1"/>
        <v>0</v>
      </c>
      <c r="G43" s="55">
        <f t="shared" si="2"/>
        <v>0</v>
      </c>
      <c r="H43" s="55">
        <f t="shared" si="3"/>
        <v>0</v>
      </c>
      <c r="I43" s="51"/>
    </row>
    <row r="44" spans="2:9" x14ac:dyDescent="0.35">
      <c r="B44" s="58"/>
      <c r="C44" s="61"/>
      <c r="D44" s="54"/>
      <c r="E44" s="77">
        <f>D44/(1-18%)</f>
        <v>0</v>
      </c>
      <c r="F44" s="55">
        <f t="shared" si="1"/>
        <v>0</v>
      </c>
      <c r="G44" s="55">
        <f t="shared" si="2"/>
        <v>0</v>
      </c>
      <c r="H44" s="55">
        <f t="shared" si="3"/>
        <v>0</v>
      </c>
      <c r="I44" s="51"/>
    </row>
    <row r="45" spans="2:9" x14ac:dyDescent="0.35">
      <c r="D45" s="30"/>
      <c r="E45" s="3" t="s">
        <v>41</v>
      </c>
      <c r="F45" s="31">
        <f>SUM(F39:F44)</f>
        <v>2620000</v>
      </c>
      <c r="G45" s="31">
        <f>SUM(G39:G44)</f>
        <v>3195121.9512195121</v>
      </c>
      <c r="H45" s="31">
        <f>SUM(H39:H44)</f>
        <v>575121.95121951215</v>
      </c>
      <c r="I45" s="1"/>
    </row>
    <row r="46" spans="2:9" x14ac:dyDescent="0.35">
      <c r="B46" s="12" t="s">
        <v>12</v>
      </c>
      <c r="I46" s="1"/>
    </row>
    <row r="47" spans="2:9" x14ac:dyDescent="0.35">
      <c r="C47" s="65"/>
      <c r="I47" s="1"/>
    </row>
    <row r="48" spans="2:9" x14ac:dyDescent="0.35">
      <c r="C48" s="65"/>
      <c r="I48" s="1"/>
    </row>
    <row r="49" spans="4:9" x14ac:dyDescent="0.35">
      <c r="D49" s="65"/>
      <c r="I49" s="1"/>
    </row>
    <row r="50" spans="4:9" x14ac:dyDescent="0.35">
      <c r="I50" s="1"/>
    </row>
  </sheetData>
  <mergeCells count="5">
    <mergeCell ref="B2:C2"/>
    <mergeCell ref="E2:F2"/>
    <mergeCell ref="B3:C3"/>
    <mergeCell ref="E3:F3"/>
    <mergeCell ref="B37:H37"/>
  </mergeCells>
  <hyperlinks>
    <hyperlink ref="I39" r:id="rId1" xr:uid="{6391E544-4DF5-409C-8EB5-11E2231F7E4A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D5F0C-35A2-485C-B5CF-5A3B4E09704A}">
  <sheetPr codeName="Hoja16"/>
  <dimension ref="B1:N50"/>
  <sheetViews>
    <sheetView tabSelected="1" topLeftCell="A6" zoomScale="85" zoomScaleNormal="85" workbookViewId="0">
      <selection activeCell="B49" sqref="B49"/>
    </sheetView>
  </sheetViews>
  <sheetFormatPr baseColWidth="10" defaultColWidth="12.453125" defaultRowHeight="14.5" x14ac:dyDescent="0.35"/>
  <cols>
    <col min="1" max="1" width="4" style="1" customWidth="1"/>
    <col min="2" max="2" width="104.54296875" style="1" bestFit="1" customWidth="1"/>
    <col min="3" max="3" width="24.54296875" style="1" bestFit="1" customWidth="1"/>
    <col min="4" max="4" width="13.54296875" style="1" customWidth="1"/>
    <col min="5" max="6" width="17.81640625" style="1" customWidth="1"/>
    <col min="7" max="7" width="19.453125" style="2" customWidth="1"/>
    <col min="8" max="8" width="19.453125" style="1" customWidth="1"/>
    <col min="9" max="9" width="75.54296875" style="76" bestFit="1" customWidth="1"/>
    <col min="10" max="10" width="9.1796875" style="1" bestFit="1" customWidth="1"/>
    <col min="11" max="11" width="13" style="1" bestFit="1" customWidth="1"/>
    <col min="12" max="16384" width="12.453125" style="1"/>
  </cols>
  <sheetData>
    <row r="1" spans="2:11" x14ac:dyDescent="0.35">
      <c r="I1" s="1"/>
    </row>
    <row r="2" spans="2:11" ht="15" customHeight="1" x14ac:dyDescent="0.35">
      <c r="B2" s="143"/>
      <c r="C2" s="144"/>
      <c r="E2" s="145"/>
      <c r="F2" s="145"/>
      <c r="I2" s="1"/>
    </row>
    <row r="3" spans="2:11" x14ac:dyDescent="0.35">
      <c r="B3" s="146"/>
      <c r="C3" s="147"/>
      <c r="D3" s="3"/>
      <c r="E3" s="145"/>
      <c r="F3" s="145"/>
      <c r="H3" s="3"/>
      <c r="I3" s="1"/>
    </row>
    <row r="4" spans="2:11" x14ac:dyDescent="0.35">
      <c r="B4" s="4" t="s">
        <v>0</v>
      </c>
      <c r="C4" s="4">
        <f>F45</f>
        <v>852453.7</v>
      </c>
      <c r="I4" s="1"/>
      <c r="K4" s="4"/>
    </row>
    <row r="5" spans="2:11" x14ac:dyDescent="0.35">
      <c r="B5" s="4" t="s">
        <v>1</v>
      </c>
      <c r="C5" s="6">
        <f>C4*19%</f>
        <v>161966.20299999998</v>
      </c>
      <c r="E5" s="3" t="s">
        <v>2</v>
      </c>
      <c r="I5" s="1"/>
      <c r="K5" s="4"/>
    </row>
    <row r="6" spans="2:11" x14ac:dyDescent="0.35">
      <c r="B6" s="7" t="s">
        <v>3</v>
      </c>
      <c r="C6" s="8">
        <f>SUM(C4:C5)</f>
        <v>1014419.9029999999</v>
      </c>
      <c r="I6" s="1"/>
      <c r="K6" s="4"/>
    </row>
    <row r="7" spans="2:11" x14ac:dyDescent="0.35">
      <c r="B7" s="4"/>
      <c r="C7" s="4"/>
      <c r="I7" s="1"/>
      <c r="K7" s="4"/>
    </row>
    <row r="8" spans="2:11" x14ac:dyDescent="0.35">
      <c r="B8" s="4" t="s">
        <v>4</v>
      </c>
      <c r="C8" s="4">
        <f>G45</f>
        <v>1164957.4358974358</v>
      </c>
      <c r="I8" s="1"/>
      <c r="K8" s="4"/>
    </row>
    <row r="9" spans="2:11" x14ac:dyDescent="0.35">
      <c r="B9" s="4" t="s">
        <v>5</v>
      </c>
      <c r="C9" s="6">
        <f>C8*19%</f>
        <v>221341.91282051281</v>
      </c>
      <c r="E9" s="9" t="s">
        <v>6</v>
      </c>
      <c r="F9" s="10"/>
      <c r="G9" s="11"/>
      <c r="H9" s="12"/>
      <c r="I9" s="4"/>
      <c r="J9" s="4"/>
      <c r="K9" s="4"/>
    </row>
    <row r="10" spans="2:11" x14ac:dyDescent="0.35">
      <c r="B10" s="8" t="s">
        <v>7</v>
      </c>
      <c r="C10" s="8">
        <f>C8+C9</f>
        <v>1386299.3487179487</v>
      </c>
      <c r="E10" s="12"/>
      <c r="F10" s="12"/>
      <c r="H10" s="13"/>
      <c r="I10" s="4"/>
      <c r="J10" s="4"/>
      <c r="K10" s="4"/>
    </row>
    <row r="11" spans="2:11" x14ac:dyDescent="0.35">
      <c r="B11" s="4"/>
      <c r="C11" s="4"/>
      <c r="E11" s="12"/>
      <c r="I11" s="4"/>
      <c r="J11" s="4"/>
      <c r="K11" s="4"/>
    </row>
    <row r="12" spans="2:11" x14ac:dyDescent="0.35">
      <c r="B12" s="7" t="s">
        <v>8</v>
      </c>
      <c r="C12" s="4">
        <f>C9-C5</f>
        <v>59375.709820512828</v>
      </c>
      <c r="E12" s="13" t="s">
        <v>9</v>
      </c>
      <c r="F12" s="8" t="s">
        <v>10</v>
      </c>
      <c r="G12" s="14" t="s">
        <v>11</v>
      </c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I13" s="4"/>
      <c r="J13" s="4"/>
      <c r="K13" s="4"/>
    </row>
    <row r="14" spans="2:11" x14ac:dyDescent="0.35">
      <c r="B14" s="4" t="s">
        <v>13</v>
      </c>
      <c r="C14" s="4">
        <f>C8-C4</f>
        <v>312503.73589743581</v>
      </c>
      <c r="F14" s="4"/>
      <c r="I14" s="4"/>
      <c r="J14" s="4"/>
      <c r="K14" s="4"/>
    </row>
    <row r="15" spans="2:11" x14ac:dyDescent="0.35">
      <c r="B15" s="4" t="s">
        <v>14</v>
      </c>
      <c r="C15" s="4"/>
      <c r="F15" s="4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F16" s="4"/>
      <c r="I16" s="4"/>
      <c r="J16" s="4"/>
      <c r="K16" s="4"/>
    </row>
    <row r="17" spans="2:14" x14ac:dyDescent="0.35">
      <c r="B17" s="4" t="s">
        <v>16</v>
      </c>
      <c r="C17" s="4">
        <f>C10-C6-C12-C15-C16</f>
        <v>312503.73589743592</v>
      </c>
      <c r="F17" s="4"/>
      <c r="I17" s="4"/>
      <c r="J17" s="4"/>
      <c r="K17" s="4"/>
    </row>
    <row r="18" spans="2:14" x14ac:dyDescent="0.35">
      <c r="B18" s="4"/>
      <c r="C18" s="4"/>
      <c r="F18" s="4"/>
      <c r="I18" s="4"/>
      <c r="J18" s="4"/>
      <c r="K18" s="4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I19" s="4"/>
      <c r="J19" s="4"/>
      <c r="K19" s="4"/>
    </row>
    <row r="20" spans="2:14" x14ac:dyDescent="0.35">
      <c r="B20" s="4"/>
      <c r="C20" s="4"/>
      <c r="D20" s="18"/>
      <c r="E20" s="18"/>
      <c r="F20" s="18"/>
      <c r="I20" s="4"/>
      <c r="J20" s="4"/>
    </row>
    <row r="21" spans="2:14" x14ac:dyDescent="0.35">
      <c r="B21" s="19" t="s">
        <v>18</v>
      </c>
      <c r="C21" s="20">
        <f>C17-C19-C18-C20</f>
        <v>312503.73589743592</v>
      </c>
      <c r="I21" s="4"/>
      <c r="J21" s="4"/>
    </row>
    <row r="22" spans="2:14" x14ac:dyDescent="0.35">
      <c r="B22" s="4"/>
      <c r="C22" s="4"/>
      <c r="I22" s="4"/>
      <c r="J22" s="4"/>
      <c r="K22" s="4"/>
      <c r="L22" s="4"/>
      <c r="M22" s="4"/>
      <c r="N22" s="4"/>
    </row>
    <row r="23" spans="2:14" x14ac:dyDescent="0.35">
      <c r="B23" s="19" t="s">
        <v>19</v>
      </c>
      <c r="C23" s="21">
        <f>C14*12.5%</f>
        <v>39062.966987179476</v>
      </c>
      <c r="E23" s="136" t="s">
        <v>20</v>
      </c>
      <c r="F23" s="136" t="s">
        <v>21</v>
      </c>
      <c r="G23" s="11" t="s">
        <v>22</v>
      </c>
      <c r="I23" s="1"/>
      <c r="M23" s="4"/>
      <c r="N23" s="4"/>
    </row>
    <row r="24" spans="2:14" x14ac:dyDescent="0.35">
      <c r="B24" s="52"/>
      <c r="C24" s="16"/>
      <c r="I24" s="1"/>
      <c r="K24" s="53"/>
      <c r="L24" s="53"/>
      <c r="M24" s="4"/>
      <c r="N24" s="4"/>
    </row>
    <row r="25" spans="2:14" x14ac:dyDescent="0.35">
      <c r="B25" s="19" t="s">
        <v>23</v>
      </c>
      <c r="C25" s="21">
        <f>C21-C23</f>
        <v>273440.76891025645</v>
      </c>
      <c r="D25" s="136" t="s">
        <v>24</v>
      </c>
      <c r="E25" s="8">
        <f>C25*100/C8</f>
        <v>23.472168208412594</v>
      </c>
      <c r="F25" s="3" t="s">
        <v>25</v>
      </c>
      <c r="I25" s="1"/>
    </row>
    <row r="26" spans="2:14" x14ac:dyDescent="0.35">
      <c r="I26" s="1"/>
    </row>
    <row r="27" spans="2:14" x14ac:dyDescent="0.35">
      <c r="B27" s="19" t="s">
        <v>26</v>
      </c>
      <c r="C27" s="21">
        <f>C25*0%</f>
        <v>0</v>
      </c>
      <c r="D27" s="33" t="s">
        <v>27</v>
      </c>
      <c r="I27" s="1"/>
    </row>
    <row r="28" spans="2:14" x14ac:dyDescent="0.35">
      <c r="I28" s="1"/>
    </row>
    <row r="29" spans="2:14" x14ac:dyDescent="0.35">
      <c r="B29" s="19" t="s">
        <v>28</v>
      </c>
      <c r="C29" s="20">
        <f>C25-C27</f>
        <v>273440.76891025645</v>
      </c>
      <c r="I29" s="1"/>
    </row>
    <row r="30" spans="2:14" x14ac:dyDescent="0.35">
      <c r="B30" s="52"/>
      <c r="C30" s="13"/>
      <c r="I30" s="1"/>
    </row>
    <row r="31" spans="2:14" x14ac:dyDescent="0.35">
      <c r="B31" s="19" t="s">
        <v>29</v>
      </c>
      <c r="C31" s="20">
        <v>0</v>
      </c>
      <c r="I31" s="1"/>
    </row>
    <row r="32" spans="2:14" x14ac:dyDescent="0.35">
      <c r="B32" s="52"/>
      <c r="C32" s="16"/>
      <c r="I32" s="1"/>
    </row>
    <row r="33" spans="2:9" x14ac:dyDescent="0.35">
      <c r="B33" s="19" t="s">
        <v>30</v>
      </c>
      <c r="C33" s="20">
        <f>C29*0/100</f>
        <v>0</v>
      </c>
      <c r="I33" s="1"/>
    </row>
    <row r="34" spans="2:9" x14ac:dyDescent="0.35">
      <c r="B34" s="23"/>
      <c r="C34" s="13"/>
      <c r="I34" s="1"/>
    </row>
    <row r="35" spans="2:9" x14ac:dyDescent="0.35">
      <c r="B35" s="19" t="s">
        <v>31</v>
      </c>
      <c r="C35" s="20">
        <f>C29-C31-C33</f>
        <v>273440.76891025645</v>
      </c>
      <c r="D35" s="33" t="s">
        <v>27</v>
      </c>
      <c r="E35" s="16"/>
      <c r="F35" s="16"/>
      <c r="H35" s="12"/>
      <c r="I35" s="1"/>
    </row>
    <row r="36" spans="2:9" x14ac:dyDescent="0.35">
      <c r="B36" s="23"/>
      <c r="C36" s="13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1"/>
    </row>
    <row r="39" spans="2:9" ht="16" customHeight="1" x14ac:dyDescent="0.35">
      <c r="B39" s="66" t="s">
        <v>116</v>
      </c>
      <c r="C39" s="62">
        <v>5</v>
      </c>
      <c r="D39" s="54">
        <v>30243.69</v>
      </c>
      <c r="E39" s="77">
        <f>D39/(1-35%)</f>
        <v>46528.753846153842</v>
      </c>
      <c r="F39" s="55">
        <f t="shared" ref="F39:F44" si="0">D39*C39</f>
        <v>151218.44999999998</v>
      </c>
      <c r="G39" s="55">
        <f t="shared" ref="G39:G44" si="1">E39*C39</f>
        <v>232643.76923076922</v>
      </c>
      <c r="H39" s="55">
        <f t="shared" ref="H39:H44" si="2">G39-F39</f>
        <v>81425.319230769237</v>
      </c>
      <c r="I39" s="59" t="s">
        <v>117</v>
      </c>
    </row>
    <row r="40" spans="2:9" ht="16" customHeight="1" x14ac:dyDescent="0.35">
      <c r="B40" s="66" t="s">
        <v>118</v>
      </c>
      <c r="C40" s="63">
        <v>5</v>
      </c>
      <c r="D40" s="54">
        <v>138647.04999999999</v>
      </c>
      <c r="E40" s="77">
        <f>D40/(1-25%)</f>
        <v>184862.73333333331</v>
      </c>
      <c r="F40" s="55">
        <f t="shared" si="0"/>
        <v>693235.25</v>
      </c>
      <c r="G40" s="55">
        <f t="shared" si="1"/>
        <v>924313.66666666651</v>
      </c>
      <c r="H40" s="55">
        <f t="shared" si="2"/>
        <v>231078.41666666651</v>
      </c>
      <c r="I40" s="59" t="s">
        <v>119</v>
      </c>
    </row>
    <row r="41" spans="2:9" ht="16" customHeight="1" x14ac:dyDescent="0.35">
      <c r="B41" s="66" t="s">
        <v>109</v>
      </c>
      <c r="C41" s="63">
        <v>1</v>
      </c>
      <c r="D41" s="54">
        <v>8000</v>
      </c>
      <c r="E41" s="77">
        <v>8000</v>
      </c>
      <c r="F41" s="55">
        <f t="shared" si="0"/>
        <v>8000</v>
      </c>
      <c r="G41" s="55">
        <f t="shared" si="1"/>
        <v>8000</v>
      </c>
      <c r="H41" s="55">
        <f t="shared" si="2"/>
        <v>0</v>
      </c>
      <c r="I41" s="59"/>
    </row>
    <row r="42" spans="2:9" ht="16" customHeight="1" x14ac:dyDescent="0.35">
      <c r="B42" s="66"/>
      <c r="C42" s="60"/>
      <c r="D42" s="54"/>
      <c r="E42" s="77">
        <f t="shared" ref="E42:E43" si="3">D42/(1-18%)</f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9"/>
    </row>
    <row r="43" spans="2:9" x14ac:dyDescent="0.35">
      <c r="B43" s="58"/>
      <c r="C43" s="61"/>
      <c r="D43" s="54"/>
      <c r="E43" s="77">
        <f t="shared" si="3"/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B44" s="58"/>
      <c r="C44" s="61"/>
      <c r="D44" s="54"/>
      <c r="E44" s="77">
        <f>D44/(1-18%)</f>
        <v>0</v>
      </c>
      <c r="F44" s="55">
        <f t="shared" si="0"/>
        <v>0</v>
      </c>
      <c r="G44" s="55">
        <f t="shared" si="1"/>
        <v>0</v>
      </c>
      <c r="H44" s="55">
        <f t="shared" si="2"/>
        <v>0</v>
      </c>
      <c r="I44" s="51"/>
    </row>
    <row r="45" spans="2:9" x14ac:dyDescent="0.35">
      <c r="D45" s="30"/>
      <c r="E45" s="3" t="s">
        <v>41</v>
      </c>
      <c r="F45" s="31">
        <f>SUM(F39:F44)</f>
        <v>852453.7</v>
      </c>
      <c r="G45" s="31">
        <f>SUM(G39:G44)</f>
        <v>1164957.4358974358</v>
      </c>
      <c r="H45" s="31">
        <f>SUM(H39:H44)</f>
        <v>312503.73589743575</v>
      </c>
      <c r="I45" s="1"/>
    </row>
    <row r="46" spans="2:9" x14ac:dyDescent="0.35">
      <c r="B46" s="12" t="s">
        <v>12</v>
      </c>
      <c r="I46" s="1"/>
    </row>
    <row r="47" spans="2:9" x14ac:dyDescent="0.35">
      <c r="C47" s="65"/>
      <c r="I47" s="1"/>
    </row>
    <row r="48" spans="2:9" x14ac:dyDescent="0.35">
      <c r="C48" s="65"/>
      <c r="I48" s="1"/>
    </row>
    <row r="49" spans="4:9" x14ac:dyDescent="0.35">
      <c r="D49" s="65"/>
      <c r="I49" s="1"/>
    </row>
    <row r="50" spans="4:9" x14ac:dyDescent="0.35">
      <c r="I50" s="1"/>
    </row>
  </sheetData>
  <mergeCells count="5">
    <mergeCell ref="B2:C2"/>
    <mergeCell ref="E2:F2"/>
    <mergeCell ref="B3:C3"/>
    <mergeCell ref="E3:F3"/>
    <mergeCell ref="B37:H37"/>
  </mergeCells>
  <hyperlinks>
    <hyperlink ref="I39" r:id="rId1" xr:uid="{82F767C8-D3CE-4DF4-B926-C76CCF0035F0}"/>
    <hyperlink ref="I40" r:id="rId2" xr:uid="{2255B208-3B85-4B56-BFDF-5F258DD8E8A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21BE2-6A00-4ADC-A73A-FA70F2A8E0E0}">
  <sheetPr codeName="Hoja15"/>
  <dimension ref="B1:N50"/>
  <sheetViews>
    <sheetView tabSelected="1" topLeftCell="A20" zoomScale="85" zoomScaleNormal="85" workbookViewId="0">
      <selection activeCell="B49" sqref="B49"/>
    </sheetView>
  </sheetViews>
  <sheetFormatPr baseColWidth="10" defaultColWidth="12.453125" defaultRowHeight="14.5" x14ac:dyDescent="0.35"/>
  <cols>
    <col min="1" max="1" width="4" style="1" customWidth="1"/>
    <col min="2" max="2" width="104.54296875" style="1" bestFit="1" customWidth="1"/>
    <col min="3" max="3" width="24.54296875" style="1" bestFit="1" customWidth="1"/>
    <col min="4" max="4" width="13.54296875" style="1" customWidth="1"/>
    <col min="5" max="6" width="17.81640625" style="1" customWidth="1"/>
    <col min="7" max="7" width="19.453125" style="2" customWidth="1"/>
    <col min="8" max="8" width="19.453125" style="1" customWidth="1"/>
    <col min="9" max="9" width="75.54296875" style="76" bestFit="1" customWidth="1"/>
    <col min="10" max="10" width="9.1796875" style="1" bestFit="1" customWidth="1"/>
    <col min="11" max="11" width="13" style="1" bestFit="1" customWidth="1"/>
    <col min="12" max="16384" width="12.453125" style="1"/>
  </cols>
  <sheetData>
    <row r="1" spans="2:11" x14ac:dyDescent="0.35">
      <c r="I1" s="1"/>
    </row>
    <row r="2" spans="2:11" ht="15" customHeight="1" x14ac:dyDescent="0.35">
      <c r="B2" s="143"/>
      <c r="C2" s="144"/>
      <c r="E2" s="145"/>
      <c r="F2" s="145"/>
      <c r="I2" s="1"/>
    </row>
    <row r="3" spans="2:11" x14ac:dyDescent="0.35">
      <c r="B3" s="146"/>
      <c r="C3" s="147"/>
      <c r="D3" s="3"/>
      <c r="E3" s="145"/>
      <c r="F3" s="145"/>
      <c r="H3" s="3"/>
      <c r="I3" s="1"/>
    </row>
    <row r="4" spans="2:11" x14ac:dyDescent="0.35">
      <c r="B4" s="4" t="s">
        <v>0</v>
      </c>
      <c r="C4" s="4">
        <f>F45</f>
        <v>265420.17000000004</v>
      </c>
      <c r="I4" s="1"/>
      <c r="K4" s="4"/>
    </row>
    <row r="5" spans="2:11" x14ac:dyDescent="0.35">
      <c r="B5" s="4" t="s">
        <v>1</v>
      </c>
      <c r="C5" s="6">
        <f>C4*19%</f>
        <v>50429.832300000009</v>
      </c>
      <c r="E5" s="3" t="s">
        <v>2</v>
      </c>
      <c r="I5" s="1"/>
      <c r="K5" s="4"/>
    </row>
    <row r="6" spans="2:11" x14ac:dyDescent="0.35">
      <c r="B6" s="7" t="s">
        <v>3</v>
      </c>
      <c r="C6" s="8">
        <f>SUM(C4:C5)</f>
        <v>315850.00230000005</v>
      </c>
      <c r="I6" s="1"/>
      <c r="K6" s="4"/>
    </row>
    <row r="7" spans="2:11" x14ac:dyDescent="0.35">
      <c r="B7" s="4"/>
      <c r="C7" s="4"/>
      <c r="I7" s="1"/>
      <c r="K7" s="4"/>
    </row>
    <row r="8" spans="2:11" x14ac:dyDescent="0.35">
      <c r="B8" s="4" t="s">
        <v>4</v>
      </c>
      <c r="C8" s="4">
        <f>G45</f>
        <v>344500.22368421056</v>
      </c>
      <c r="I8" s="1"/>
      <c r="K8" s="4"/>
    </row>
    <row r="9" spans="2:11" x14ac:dyDescent="0.35">
      <c r="B9" s="4" t="s">
        <v>5</v>
      </c>
      <c r="C9" s="6">
        <f>C8*19%</f>
        <v>65455.04250000001</v>
      </c>
      <c r="E9" s="9" t="s">
        <v>6</v>
      </c>
      <c r="F9" s="10"/>
      <c r="G9" s="11"/>
      <c r="H9" s="12"/>
      <c r="I9" s="4"/>
      <c r="J9" s="4"/>
      <c r="K9" s="4"/>
    </row>
    <row r="10" spans="2:11" x14ac:dyDescent="0.35">
      <c r="B10" s="8" t="s">
        <v>7</v>
      </c>
      <c r="C10" s="8">
        <f>C8+C9</f>
        <v>409955.26618421054</v>
      </c>
      <c r="E10" s="12"/>
      <c r="F10" s="12"/>
      <c r="H10" s="13"/>
      <c r="I10" s="4"/>
      <c r="J10" s="4"/>
      <c r="K10" s="4"/>
    </row>
    <row r="11" spans="2:11" x14ac:dyDescent="0.35">
      <c r="B11" s="4"/>
      <c r="C11" s="4"/>
      <c r="E11" s="12"/>
      <c r="I11" s="4"/>
      <c r="J11" s="4"/>
      <c r="K11" s="4"/>
    </row>
    <row r="12" spans="2:11" x14ac:dyDescent="0.35">
      <c r="B12" s="7" t="s">
        <v>8</v>
      </c>
      <c r="C12" s="4">
        <f>C9-C5</f>
        <v>15025.210200000001</v>
      </c>
      <c r="E12" s="13" t="s">
        <v>9</v>
      </c>
      <c r="F12" s="8" t="s">
        <v>10</v>
      </c>
      <c r="G12" s="14" t="s">
        <v>11</v>
      </c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I13" s="4"/>
      <c r="J13" s="4"/>
      <c r="K13" s="4"/>
    </row>
    <row r="14" spans="2:11" x14ac:dyDescent="0.35">
      <c r="B14" s="4" t="s">
        <v>13</v>
      </c>
      <c r="C14" s="4">
        <f>C8-C4</f>
        <v>79080.053684210521</v>
      </c>
      <c r="F14" s="4"/>
      <c r="I14" s="4"/>
      <c r="J14" s="4"/>
      <c r="K14" s="4"/>
    </row>
    <row r="15" spans="2:11" x14ac:dyDescent="0.35">
      <c r="B15" s="4" t="s">
        <v>14</v>
      </c>
      <c r="C15" s="4"/>
      <c r="F15" s="4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F16" s="4"/>
      <c r="I16" s="4"/>
      <c r="J16" s="4"/>
      <c r="K16" s="4"/>
    </row>
    <row r="17" spans="2:14" x14ac:dyDescent="0.35">
      <c r="B17" s="4" t="s">
        <v>16</v>
      </c>
      <c r="C17" s="4">
        <f>C10-C6-C12-C15-C16</f>
        <v>79080.053684210492</v>
      </c>
      <c r="F17" s="4"/>
      <c r="I17" s="4"/>
      <c r="J17" s="4"/>
      <c r="K17" s="4"/>
    </row>
    <row r="18" spans="2:14" x14ac:dyDescent="0.35">
      <c r="B18" s="4"/>
      <c r="C18" s="4"/>
      <c r="F18" s="4"/>
      <c r="I18" s="4"/>
      <c r="J18" s="4"/>
      <c r="K18" s="4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I19" s="4"/>
      <c r="J19" s="4"/>
      <c r="K19" s="4"/>
    </row>
    <row r="20" spans="2:14" x14ac:dyDescent="0.35">
      <c r="B20" s="4"/>
      <c r="C20" s="4"/>
      <c r="D20" s="18"/>
      <c r="E20" s="18"/>
      <c r="F20" s="18"/>
      <c r="I20" s="4"/>
      <c r="J20" s="4"/>
    </row>
    <row r="21" spans="2:14" x14ac:dyDescent="0.35">
      <c r="B21" s="19" t="s">
        <v>18</v>
      </c>
      <c r="C21" s="20">
        <f>C17-C19-C18-C20</f>
        <v>79080.053684210492</v>
      </c>
      <c r="I21" s="4"/>
      <c r="J21" s="4"/>
    </row>
    <row r="22" spans="2:14" x14ac:dyDescent="0.35">
      <c r="B22" s="4"/>
      <c r="C22" s="4"/>
      <c r="I22" s="4"/>
      <c r="J22" s="4"/>
      <c r="K22" s="4"/>
      <c r="L22" s="4"/>
      <c r="M22" s="4"/>
      <c r="N22" s="4"/>
    </row>
    <row r="23" spans="2:14" x14ac:dyDescent="0.35">
      <c r="B23" s="19" t="s">
        <v>19</v>
      </c>
      <c r="C23" s="21">
        <f>C14*12.5%</f>
        <v>9885.0067105263151</v>
      </c>
      <c r="E23" s="136" t="s">
        <v>20</v>
      </c>
      <c r="F23" s="136" t="s">
        <v>21</v>
      </c>
      <c r="G23" s="11" t="s">
        <v>22</v>
      </c>
      <c r="I23" s="1"/>
      <c r="M23" s="4"/>
      <c r="N23" s="4"/>
    </row>
    <row r="24" spans="2:14" x14ac:dyDescent="0.35">
      <c r="B24" s="52"/>
      <c r="C24" s="16"/>
      <c r="I24" s="1"/>
      <c r="K24" s="53"/>
      <c r="L24" s="53"/>
      <c r="M24" s="4"/>
      <c r="N24" s="4"/>
    </row>
    <row r="25" spans="2:14" x14ac:dyDescent="0.35">
      <c r="B25" s="19" t="s">
        <v>23</v>
      </c>
      <c r="C25" s="21">
        <f>C21-C23</f>
        <v>69195.046973684177</v>
      </c>
      <c r="D25" s="136" t="s">
        <v>24</v>
      </c>
      <c r="E25" s="8">
        <f>C25*100/C8</f>
        <v>20.085631943482419</v>
      </c>
      <c r="F25" s="3" t="s">
        <v>25</v>
      </c>
      <c r="I25" s="1"/>
    </row>
    <row r="26" spans="2:14" x14ac:dyDescent="0.35">
      <c r="I26" s="1"/>
    </row>
    <row r="27" spans="2:14" x14ac:dyDescent="0.35">
      <c r="B27" s="19" t="s">
        <v>26</v>
      </c>
      <c r="C27" s="21">
        <f>C25*0%</f>
        <v>0</v>
      </c>
      <c r="D27" s="33" t="s">
        <v>27</v>
      </c>
      <c r="I27" s="1"/>
    </row>
    <row r="28" spans="2:14" x14ac:dyDescent="0.35">
      <c r="I28" s="1"/>
    </row>
    <row r="29" spans="2:14" x14ac:dyDescent="0.35">
      <c r="B29" s="19" t="s">
        <v>28</v>
      </c>
      <c r="C29" s="20">
        <f>C25-C27</f>
        <v>69195.046973684177</v>
      </c>
      <c r="I29" s="1"/>
    </row>
    <row r="30" spans="2:14" x14ac:dyDescent="0.35">
      <c r="B30" s="52"/>
      <c r="C30" s="13"/>
      <c r="I30" s="1"/>
    </row>
    <row r="31" spans="2:14" x14ac:dyDescent="0.35">
      <c r="B31" s="19" t="s">
        <v>29</v>
      </c>
      <c r="C31" s="20">
        <v>0</v>
      </c>
      <c r="I31" s="1"/>
    </row>
    <row r="32" spans="2:14" x14ac:dyDescent="0.35">
      <c r="B32" s="52"/>
      <c r="C32" s="16"/>
      <c r="I32" s="1"/>
    </row>
    <row r="33" spans="2:9" x14ac:dyDescent="0.35">
      <c r="B33" s="19" t="s">
        <v>30</v>
      </c>
      <c r="C33" s="20">
        <f>C29*0/100</f>
        <v>0</v>
      </c>
      <c r="I33" s="1"/>
    </row>
    <row r="34" spans="2:9" x14ac:dyDescent="0.35">
      <c r="B34" s="23"/>
      <c r="C34" s="13"/>
      <c r="I34" s="1"/>
    </row>
    <row r="35" spans="2:9" x14ac:dyDescent="0.35">
      <c r="B35" s="19" t="s">
        <v>31</v>
      </c>
      <c r="C35" s="20">
        <f>C29-C31-C33</f>
        <v>69195.046973684177</v>
      </c>
      <c r="D35" s="33" t="s">
        <v>27</v>
      </c>
      <c r="E35" s="16"/>
      <c r="F35" s="16"/>
      <c r="H35" s="12"/>
      <c r="I35" s="1"/>
    </row>
    <row r="36" spans="2:9" x14ac:dyDescent="0.35">
      <c r="B36" s="23"/>
      <c r="C36" s="13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1"/>
    </row>
    <row r="39" spans="2:9" ht="16" customHeight="1" x14ac:dyDescent="0.35">
      <c r="B39" s="66" t="s">
        <v>114</v>
      </c>
      <c r="C39" s="62">
        <v>1</v>
      </c>
      <c r="D39" s="54">
        <v>250420.17</v>
      </c>
      <c r="E39" s="77">
        <f>D39/(1-24%)</f>
        <v>329500.22368421056</v>
      </c>
      <c r="F39" s="55">
        <f t="shared" ref="F39:F44" si="0">D39*C39</f>
        <v>250420.17</v>
      </c>
      <c r="G39" s="55">
        <f t="shared" ref="G39:G44" si="1">E39*C39</f>
        <v>329500.22368421056</v>
      </c>
      <c r="H39" s="55">
        <f t="shared" ref="H39:H44" si="2">G39-F39</f>
        <v>79080.05368421055</v>
      </c>
      <c r="I39" s="59" t="s">
        <v>115</v>
      </c>
    </row>
    <row r="40" spans="2:9" ht="16" customHeight="1" x14ac:dyDescent="0.35">
      <c r="B40" s="66"/>
      <c r="C40" s="63">
        <v>1</v>
      </c>
      <c r="D40" s="54">
        <v>15000</v>
      </c>
      <c r="E40" s="77">
        <v>15000</v>
      </c>
      <c r="F40" s="55">
        <f t="shared" si="0"/>
        <v>15000</v>
      </c>
      <c r="G40" s="55">
        <f t="shared" si="1"/>
        <v>15000</v>
      </c>
      <c r="H40" s="55">
        <f t="shared" si="2"/>
        <v>0</v>
      </c>
      <c r="I40" s="59"/>
    </row>
    <row r="41" spans="2:9" ht="16" customHeight="1" x14ac:dyDescent="0.35">
      <c r="B41" s="66"/>
      <c r="C41" s="63"/>
      <c r="D41" s="54"/>
      <c r="E41" s="77">
        <f t="shared" ref="E41:E43" si="3">D41/(1-18%)</f>
        <v>0</v>
      </c>
      <c r="F41" s="55">
        <f t="shared" si="0"/>
        <v>0</v>
      </c>
      <c r="G41" s="55">
        <f t="shared" si="1"/>
        <v>0</v>
      </c>
      <c r="H41" s="55">
        <f t="shared" si="2"/>
        <v>0</v>
      </c>
      <c r="I41" s="59"/>
    </row>
    <row r="42" spans="2:9" ht="16" customHeight="1" x14ac:dyDescent="0.35">
      <c r="B42" s="66"/>
      <c r="C42" s="60"/>
      <c r="D42" s="54"/>
      <c r="E42" s="77">
        <f t="shared" si="3"/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9"/>
    </row>
    <row r="43" spans="2:9" x14ac:dyDescent="0.35">
      <c r="B43" s="58"/>
      <c r="C43" s="61"/>
      <c r="D43" s="54"/>
      <c r="E43" s="77">
        <f t="shared" si="3"/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B44" s="58"/>
      <c r="C44" s="61"/>
      <c r="D44" s="54"/>
      <c r="E44" s="77">
        <f>D44/(1-18%)</f>
        <v>0</v>
      </c>
      <c r="F44" s="55">
        <f t="shared" si="0"/>
        <v>0</v>
      </c>
      <c r="G44" s="55">
        <f t="shared" si="1"/>
        <v>0</v>
      </c>
      <c r="H44" s="55">
        <f t="shared" si="2"/>
        <v>0</v>
      </c>
      <c r="I44" s="51"/>
    </row>
    <row r="45" spans="2:9" x14ac:dyDescent="0.35">
      <c r="D45" s="30"/>
      <c r="E45" s="3" t="s">
        <v>41</v>
      </c>
      <c r="F45" s="31">
        <f>SUM(F39:F44)</f>
        <v>265420.17000000004</v>
      </c>
      <c r="G45" s="31">
        <f>SUM(G39:G44)</f>
        <v>344500.22368421056</v>
      </c>
      <c r="H45" s="31">
        <f>SUM(H39:H44)</f>
        <v>79080.05368421055</v>
      </c>
      <c r="I45" s="1"/>
    </row>
    <row r="46" spans="2:9" x14ac:dyDescent="0.35">
      <c r="B46" s="12" t="s">
        <v>12</v>
      </c>
      <c r="I46" s="1"/>
    </row>
    <row r="47" spans="2:9" x14ac:dyDescent="0.35">
      <c r="C47" s="65"/>
      <c r="I47" s="1"/>
    </row>
    <row r="48" spans="2:9" x14ac:dyDescent="0.35">
      <c r="C48" s="65"/>
      <c r="I48" s="1"/>
    </row>
    <row r="49" spans="4:9" x14ac:dyDescent="0.35">
      <c r="D49" s="65"/>
      <c r="I49" s="1"/>
    </row>
    <row r="50" spans="4:9" x14ac:dyDescent="0.35">
      <c r="I50" s="1"/>
    </row>
  </sheetData>
  <mergeCells count="5">
    <mergeCell ref="B2:C2"/>
    <mergeCell ref="E2:F2"/>
    <mergeCell ref="B3:C3"/>
    <mergeCell ref="E3:F3"/>
    <mergeCell ref="B37:H37"/>
  </mergeCells>
  <hyperlinks>
    <hyperlink ref="I39" r:id="rId1" xr:uid="{DAB72CA7-93D8-4416-85A7-5930E2D6AF38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5C0E-9442-42B7-B4E4-3433751EDAD9}">
  <sheetPr codeName="Hoja17"/>
  <dimension ref="B1:N50"/>
  <sheetViews>
    <sheetView tabSelected="1" topLeftCell="A22" zoomScale="85" zoomScaleNormal="85" workbookViewId="0">
      <selection activeCell="B49" sqref="B49"/>
    </sheetView>
  </sheetViews>
  <sheetFormatPr baseColWidth="10" defaultColWidth="12.453125" defaultRowHeight="14.5" x14ac:dyDescent="0.35"/>
  <cols>
    <col min="1" max="1" width="4" style="1" customWidth="1"/>
    <col min="2" max="2" width="104.54296875" style="1" bestFit="1" customWidth="1"/>
    <col min="3" max="3" width="24.54296875" style="1" bestFit="1" customWidth="1"/>
    <col min="4" max="4" width="13.54296875" style="1" customWidth="1"/>
    <col min="5" max="6" width="17.81640625" style="1" customWidth="1"/>
    <col min="7" max="7" width="19.453125" style="2" customWidth="1"/>
    <col min="8" max="8" width="19.453125" style="1" customWidth="1"/>
    <col min="9" max="9" width="75.54296875" style="76" bestFit="1" customWidth="1"/>
    <col min="10" max="10" width="9.1796875" style="1" bestFit="1" customWidth="1"/>
    <col min="11" max="11" width="13" style="1" bestFit="1" customWidth="1"/>
    <col min="12" max="16384" width="12.453125" style="1"/>
  </cols>
  <sheetData>
    <row r="1" spans="2:11" x14ac:dyDescent="0.35">
      <c r="I1" s="1"/>
    </row>
    <row r="2" spans="2:11" ht="15" customHeight="1" x14ac:dyDescent="0.35">
      <c r="B2" s="143"/>
      <c r="C2" s="144"/>
      <c r="E2" s="145"/>
      <c r="F2" s="145"/>
      <c r="I2" s="1"/>
    </row>
    <row r="3" spans="2:11" x14ac:dyDescent="0.35">
      <c r="B3" s="146"/>
      <c r="C3" s="147"/>
      <c r="D3" s="3"/>
      <c r="E3" s="145"/>
      <c r="F3" s="145"/>
      <c r="H3" s="3"/>
      <c r="I3" s="1"/>
    </row>
    <row r="4" spans="2:11" x14ac:dyDescent="0.35">
      <c r="B4" s="4" t="s">
        <v>0</v>
      </c>
      <c r="C4" s="4">
        <f>F45</f>
        <v>65625</v>
      </c>
      <c r="I4" s="1"/>
      <c r="K4" s="4"/>
    </row>
    <row r="5" spans="2:11" x14ac:dyDescent="0.35">
      <c r="B5" s="4" t="s">
        <v>1</v>
      </c>
      <c r="C5" s="6">
        <f>C4*19%</f>
        <v>12468.75</v>
      </c>
      <c r="E5" s="3" t="s">
        <v>2</v>
      </c>
      <c r="I5" s="1"/>
      <c r="K5" s="4"/>
    </row>
    <row r="6" spans="2:11" x14ac:dyDescent="0.35">
      <c r="B6" s="7" t="s">
        <v>3</v>
      </c>
      <c r="C6" s="8">
        <f>SUM(C4:C5)</f>
        <v>78093.75</v>
      </c>
      <c r="I6" s="1"/>
      <c r="K6" s="4"/>
    </row>
    <row r="7" spans="2:11" x14ac:dyDescent="0.35">
      <c r="B7" s="4"/>
      <c r="C7" s="4"/>
      <c r="I7" s="1"/>
      <c r="K7" s="4"/>
    </row>
    <row r="8" spans="2:11" x14ac:dyDescent="0.35">
      <c r="B8" s="4" t="s">
        <v>4</v>
      </c>
      <c r="C8" s="4">
        <f>G45</f>
        <v>124250</v>
      </c>
      <c r="I8" s="1"/>
      <c r="K8" s="4"/>
    </row>
    <row r="9" spans="2:11" x14ac:dyDescent="0.35">
      <c r="B9" s="4" t="s">
        <v>5</v>
      </c>
      <c r="C9" s="6">
        <f>C8*19%</f>
        <v>23607.5</v>
      </c>
      <c r="E9" s="9" t="s">
        <v>6</v>
      </c>
      <c r="F9" s="10"/>
      <c r="G9" s="11"/>
      <c r="H9" s="12"/>
      <c r="I9" s="4"/>
      <c r="J9" s="4"/>
      <c r="K9" s="4"/>
    </row>
    <row r="10" spans="2:11" x14ac:dyDescent="0.35">
      <c r="B10" s="8" t="s">
        <v>7</v>
      </c>
      <c r="C10" s="8">
        <f>C8+C9</f>
        <v>147857.5</v>
      </c>
      <c r="E10" s="12"/>
      <c r="F10" s="12"/>
      <c r="H10" s="13"/>
      <c r="I10" s="4"/>
      <c r="J10" s="4"/>
      <c r="K10" s="4"/>
    </row>
    <row r="11" spans="2:11" x14ac:dyDescent="0.35">
      <c r="B11" s="4"/>
      <c r="C11" s="4"/>
      <c r="E11" s="12"/>
      <c r="I11" s="4"/>
      <c r="J11" s="4"/>
      <c r="K11" s="4"/>
    </row>
    <row r="12" spans="2:11" x14ac:dyDescent="0.35">
      <c r="B12" s="7" t="s">
        <v>8</v>
      </c>
      <c r="C12" s="4">
        <f>C9-C5</f>
        <v>11138.75</v>
      </c>
      <c r="E12" s="13" t="s">
        <v>9</v>
      </c>
      <c r="F12" s="8" t="s">
        <v>10</v>
      </c>
      <c r="G12" s="14" t="s">
        <v>11</v>
      </c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I13" s="4"/>
      <c r="J13" s="4"/>
      <c r="K13" s="4"/>
    </row>
    <row r="14" spans="2:11" x14ac:dyDescent="0.35">
      <c r="B14" s="4" t="s">
        <v>13</v>
      </c>
      <c r="C14" s="4">
        <f>C8-C4</f>
        <v>58625</v>
      </c>
      <c r="F14" s="4"/>
      <c r="I14" s="4"/>
      <c r="J14" s="4"/>
      <c r="K14" s="4"/>
    </row>
    <row r="15" spans="2:11" x14ac:dyDescent="0.35">
      <c r="B15" s="4" t="s">
        <v>14</v>
      </c>
      <c r="C15" s="4"/>
      <c r="F15" s="4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F16" s="4"/>
      <c r="I16" s="4"/>
      <c r="J16" s="4"/>
      <c r="K16" s="4"/>
    </row>
    <row r="17" spans="2:14" x14ac:dyDescent="0.35">
      <c r="B17" s="4" t="s">
        <v>16</v>
      </c>
      <c r="C17" s="4">
        <f>C10-C6-C12-C15-C16</f>
        <v>58625</v>
      </c>
      <c r="F17" s="4"/>
      <c r="I17" s="4"/>
      <c r="J17" s="4"/>
      <c r="K17" s="4"/>
    </row>
    <row r="18" spans="2:14" x14ac:dyDescent="0.35">
      <c r="B18" s="4"/>
      <c r="C18" s="4"/>
      <c r="F18" s="4"/>
      <c r="I18" s="4"/>
      <c r="J18" s="4"/>
      <c r="K18" s="4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I19" s="4"/>
      <c r="J19" s="4"/>
      <c r="K19" s="4"/>
    </row>
    <row r="20" spans="2:14" x14ac:dyDescent="0.35">
      <c r="B20" s="4"/>
      <c r="C20" s="4"/>
      <c r="D20" s="18"/>
      <c r="E20" s="18"/>
      <c r="F20" s="18"/>
      <c r="I20" s="4"/>
      <c r="J20" s="4"/>
    </row>
    <row r="21" spans="2:14" x14ac:dyDescent="0.35">
      <c r="B21" s="19" t="s">
        <v>18</v>
      </c>
      <c r="C21" s="20">
        <f>C17-C19-C18-C20</f>
        <v>58625</v>
      </c>
      <c r="I21" s="4"/>
      <c r="J21" s="4"/>
    </row>
    <row r="22" spans="2:14" x14ac:dyDescent="0.35">
      <c r="B22" s="4"/>
      <c r="C22" s="4"/>
      <c r="I22" s="4"/>
      <c r="J22" s="4"/>
      <c r="K22" s="4"/>
      <c r="L22" s="4"/>
      <c r="M22" s="4"/>
      <c r="N22" s="4"/>
    </row>
    <row r="23" spans="2:14" x14ac:dyDescent="0.35">
      <c r="B23" s="19" t="s">
        <v>19</v>
      </c>
      <c r="C23" s="21">
        <f>C14*12.5%</f>
        <v>7328.125</v>
      </c>
      <c r="E23" s="136" t="s">
        <v>20</v>
      </c>
      <c r="F23" s="136" t="s">
        <v>21</v>
      </c>
      <c r="G23" s="11" t="s">
        <v>22</v>
      </c>
      <c r="I23" s="1"/>
      <c r="M23" s="4"/>
      <c r="N23" s="4"/>
    </row>
    <row r="24" spans="2:14" x14ac:dyDescent="0.35">
      <c r="B24" s="52"/>
      <c r="C24" s="16"/>
      <c r="I24" s="1"/>
      <c r="K24" s="53"/>
      <c r="L24" s="53"/>
      <c r="M24" s="4"/>
      <c r="N24" s="4"/>
    </row>
    <row r="25" spans="2:14" x14ac:dyDescent="0.35">
      <c r="B25" s="19" t="s">
        <v>23</v>
      </c>
      <c r="C25" s="21">
        <f>C21-C23</f>
        <v>51296.875</v>
      </c>
      <c r="D25" s="136" t="s">
        <v>24</v>
      </c>
      <c r="E25" s="8">
        <f>C25*100/C8</f>
        <v>41.285211267605632</v>
      </c>
      <c r="F25" s="3" t="s">
        <v>25</v>
      </c>
      <c r="I25" s="1"/>
    </row>
    <row r="26" spans="2:14" x14ac:dyDescent="0.35">
      <c r="I26" s="1"/>
    </row>
    <row r="27" spans="2:14" x14ac:dyDescent="0.35">
      <c r="B27" s="19" t="s">
        <v>26</v>
      </c>
      <c r="C27" s="21">
        <f>C25*0%</f>
        <v>0</v>
      </c>
      <c r="D27" s="33" t="s">
        <v>27</v>
      </c>
      <c r="I27" s="1"/>
    </row>
    <row r="28" spans="2:14" x14ac:dyDescent="0.35">
      <c r="I28" s="1"/>
    </row>
    <row r="29" spans="2:14" x14ac:dyDescent="0.35">
      <c r="B29" s="19" t="s">
        <v>28</v>
      </c>
      <c r="C29" s="20">
        <f>C25-C27</f>
        <v>51296.875</v>
      </c>
      <c r="I29" s="1"/>
    </row>
    <row r="30" spans="2:14" x14ac:dyDescent="0.35">
      <c r="B30" s="52"/>
      <c r="C30" s="13"/>
      <c r="I30" s="1"/>
    </row>
    <row r="31" spans="2:14" x14ac:dyDescent="0.35">
      <c r="B31" s="19" t="s">
        <v>29</v>
      </c>
      <c r="C31" s="20">
        <v>0</v>
      </c>
      <c r="I31" s="1"/>
    </row>
    <row r="32" spans="2:14" x14ac:dyDescent="0.35">
      <c r="B32" s="52"/>
      <c r="C32" s="16"/>
      <c r="I32" s="1"/>
    </row>
    <row r="33" spans="2:9" x14ac:dyDescent="0.35">
      <c r="B33" s="19" t="s">
        <v>30</v>
      </c>
      <c r="C33" s="20">
        <f>C29*0/100</f>
        <v>0</v>
      </c>
      <c r="I33" s="1"/>
    </row>
    <row r="34" spans="2:9" x14ac:dyDescent="0.35">
      <c r="B34" s="23"/>
      <c r="C34" s="13"/>
      <c r="I34" s="1"/>
    </row>
    <row r="35" spans="2:9" x14ac:dyDescent="0.35">
      <c r="B35" s="19" t="s">
        <v>31</v>
      </c>
      <c r="C35" s="20">
        <f>C29-C31-C33</f>
        <v>51296.875</v>
      </c>
      <c r="D35" s="33" t="s">
        <v>27</v>
      </c>
      <c r="E35" s="16"/>
      <c r="F35" s="16"/>
      <c r="H35" s="12"/>
      <c r="I35" s="1"/>
    </row>
    <row r="36" spans="2:9" x14ac:dyDescent="0.35">
      <c r="B36" s="23"/>
      <c r="C36" s="13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1"/>
    </row>
    <row r="39" spans="2:9" ht="16" customHeight="1" x14ac:dyDescent="0.35">
      <c r="B39" s="66" t="s">
        <v>120</v>
      </c>
      <c r="C39" s="62">
        <v>25</v>
      </c>
      <c r="D39" s="54">
        <v>2345</v>
      </c>
      <c r="E39" s="77">
        <f>D39/(1-50%)</f>
        <v>4690</v>
      </c>
      <c r="F39" s="55">
        <f t="shared" ref="F39:F44" si="0">D39*C39</f>
        <v>58625</v>
      </c>
      <c r="G39" s="55">
        <f t="shared" ref="G39:G44" si="1">E39*C39</f>
        <v>117250</v>
      </c>
      <c r="H39" s="55">
        <f t="shared" ref="H39:H44" si="2">G39-F39</f>
        <v>58625</v>
      </c>
      <c r="I39" s="59" t="s">
        <v>121</v>
      </c>
    </row>
    <row r="40" spans="2:9" ht="16" customHeight="1" x14ac:dyDescent="0.35">
      <c r="B40" s="66" t="s">
        <v>109</v>
      </c>
      <c r="C40" s="63">
        <v>1</v>
      </c>
      <c r="D40" s="54">
        <v>7000</v>
      </c>
      <c r="E40" s="77">
        <v>7000</v>
      </c>
      <c r="F40" s="55">
        <f t="shared" si="0"/>
        <v>7000</v>
      </c>
      <c r="G40" s="55">
        <f t="shared" si="1"/>
        <v>7000</v>
      </c>
      <c r="H40" s="55">
        <f t="shared" si="2"/>
        <v>0</v>
      </c>
      <c r="I40" s="59"/>
    </row>
    <row r="41" spans="2:9" ht="16" customHeight="1" x14ac:dyDescent="0.35">
      <c r="B41" s="66"/>
      <c r="C41" s="63"/>
      <c r="D41" s="54"/>
      <c r="E41" s="77">
        <f t="shared" ref="E41:E43" si="3">D41/(1-18%)</f>
        <v>0</v>
      </c>
      <c r="F41" s="55">
        <f t="shared" si="0"/>
        <v>0</v>
      </c>
      <c r="G41" s="55">
        <f t="shared" si="1"/>
        <v>0</v>
      </c>
      <c r="H41" s="55">
        <f t="shared" si="2"/>
        <v>0</v>
      </c>
      <c r="I41" s="59"/>
    </row>
    <row r="42" spans="2:9" ht="16" customHeight="1" x14ac:dyDescent="0.35">
      <c r="B42" s="66"/>
      <c r="C42" s="60"/>
      <c r="D42" s="54"/>
      <c r="E42" s="77">
        <f t="shared" si="3"/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9"/>
    </row>
    <row r="43" spans="2:9" x14ac:dyDescent="0.35">
      <c r="B43" s="58"/>
      <c r="C43" s="61"/>
      <c r="D43" s="54"/>
      <c r="E43" s="77">
        <f t="shared" si="3"/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B44" s="58"/>
      <c r="C44" s="61"/>
      <c r="D44" s="54"/>
      <c r="E44" s="77">
        <f>D44/(1-18%)</f>
        <v>0</v>
      </c>
      <c r="F44" s="55">
        <f t="shared" si="0"/>
        <v>0</v>
      </c>
      <c r="G44" s="55">
        <f t="shared" si="1"/>
        <v>0</v>
      </c>
      <c r="H44" s="55">
        <f t="shared" si="2"/>
        <v>0</v>
      </c>
      <c r="I44" s="51"/>
    </row>
    <row r="45" spans="2:9" x14ac:dyDescent="0.35">
      <c r="D45" s="30"/>
      <c r="E45" s="3" t="s">
        <v>41</v>
      </c>
      <c r="F45" s="31">
        <f>SUM(F39:F44)</f>
        <v>65625</v>
      </c>
      <c r="G45" s="31">
        <f>SUM(G39:G44)</f>
        <v>124250</v>
      </c>
      <c r="H45" s="31">
        <f>SUM(H39:H44)</f>
        <v>58625</v>
      </c>
      <c r="I45" s="1"/>
    </row>
    <row r="46" spans="2:9" x14ac:dyDescent="0.35">
      <c r="B46" s="12" t="s">
        <v>12</v>
      </c>
      <c r="I46" s="1"/>
    </row>
    <row r="47" spans="2:9" x14ac:dyDescent="0.35">
      <c r="C47" s="65"/>
      <c r="I47" s="1"/>
    </row>
    <row r="48" spans="2:9" x14ac:dyDescent="0.35">
      <c r="C48" s="65"/>
      <c r="I48" s="1"/>
    </row>
    <row r="49" spans="4:9" x14ac:dyDescent="0.35">
      <c r="D49" s="65"/>
      <c r="I49" s="1"/>
    </row>
    <row r="50" spans="4:9" x14ac:dyDescent="0.35">
      <c r="I50" s="1"/>
    </row>
  </sheetData>
  <mergeCells count="5">
    <mergeCell ref="B2:C2"/>
    <mergeCell ref="E2:F2"/>
    <mergeCell ref="B3:C3"/>
    <mergeCell ref="E3:F3"/>
    <mergeCell ref="B37:H37"/>
  </mergeCells>
  <hyperlinks>
    <hyperlink ref="I39" r:id="rId1" xr:uid="{407236F9-24C3-49BC-BBC1-1A09AF6EBE4A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1551-25C4-4AB7-A909-A19BCE069CDF}">
  <sheetPr codeName="Hoja18"/>
  <dimension ref="B1:N50"/>
  <sheetViews>
    <sheetView tabSelected="1" topLeftCell="A26" zoomScale="85" zoomScaleNormal="85" workbookViewId="0">
      <selection activeCell="B49" sqref="B49"/>
    </sheetView>
  </sheetViews>
  <sheetFormatPr baseColWidth="10" defaultColWidth="12.453125" defaultRowHeight="14.5" x14ac:dyDescent="0.35"/>
  <cols>
    <col min="1" max="1" width="4" style="1" customWidth="1"/>
    <col min="2" max="2" width="104.54296875" style="1" bestFit="1" customWidth="1"/>
    <col min="3" max="3" width="24.54296875" style="1" bestFit="1" customWidth="1"/>
    <col min="4" max="4" width="13.54296875" style="1" customWidth="1"/>
    <col min="5" max="6" width="17.81640625" style="1" customWidth="1"/>
    <col min="7" max="7" width="19.453125" style="2" customWidth="1"/>
    <col min="8" max="8" width="19.453125" style="1" customWidth="1"/>
    <col min="9" max="9" width="75.54296875" style="76" bestFit="1" customWidth="1"/>
    <col min="10" max="10" width="9.1796875" style="1" bestFit="1" customWidth="1"/>
    <col min="11" max="11" width="13" style="1" bestFit="1" customWidth="1"/>
    <col min="12" max="16384" width="12.453125" style="1"/>
  </cols>
  <sheetData>
    <row r="1" spans="2:11" x14ac:dyDescent="0.35">
      <c r="I1" s="1"/>
    </row>
    <row r="2" spans="2:11" ht="15" customHeight="1" x14ac:dyDescent="0.35">
      <c r="B2" s="143"/>
      <c r="C2" s="144"/>
      <c r="E2" s="145"/>
      <c r="F2" s="145"/>
      <c r="I2" s="1"/>
    </row>
    <row r="3" spans="2:11" x14ac:dyDescent="0.35">
      <c r="B3" s="146"/>
      <c r="C3" s="147"/>
      <c r="D3" s="3"/>
      <c r="E3" s="145"/>
      <c r="F3" s="145"/>
      <c r="H3" s="3"/>
      <c r="I3" s="1"/>
    </row>
    <row r="4" spans="2:11" x14ac:dyDescent="0.35">
      <c r="B4" s="4" t="s">
        <v>0</v>
      </c>
      <c r="C4" s="4">
        <f>F45</f>
        <v>308319</v>
      </c>
      <c r="I4" s="1"/>
      <c r="K4" s="4"/>
    </row>
    <row r="5" spans="2:11" x14ac:dyDescent="0.35">
      <c r="B5" s="4" t="s">
        <v>1</v>
      </c>
      <c r="C5" s="6">
        <f>C4*19%</f>
        <v>58580.61</v>
      </c>
      <c r="E5" s="3" t="s">
        <v>2</v>
      </c>
      <c r="I5" s="1"/>
      <c r="K5" s="4"/>
    </row>
    <row r="6" spans="2:11" x14ac:dyDescent="0.35">
      <c r="B6" s="7" t="s">
        <v>3</v>
      </c>
      <c r="C6" s="8">
        <f>SUM(C4:C5)</f>
        <v>366899.61</v>
      </c>
      <c r="I6" s="1"/>
      <c r="K6" s="4"/>
    </row>
    <row r="7" spans="2:11" x14ac:dyDescent="0.35">
      <c r="B7" s="4"/>
      <c r="C7" s="4"/>
      <c r="I7" s="1"/>
      <c r="K7" s="4"/>
    </row>
    <row r="8" spans="2:11" x14ac:dyDescent="0.35">
      <c r="B8" s="4" t="s">
        <v>4</v>
      </c>
      <c r="C8" s="4">
        <f>G45</f>
        <v>491159.67741935485</v>
      </c>
      <c r="I8" s="1"/>
      <c r="K8" s="4"/>
    </row>
    <row r="9" spans="2:11" x14ac:dyDescent="0.35">
      <c r="B9" s="4" t="s">
        <v>5</v>
      </c>
      <c r="C9" s="6">
        <f>C8*19%</f>
        <v>93320.338709677424</v>
      </c>
      <c r="E9" s="9" t="s">
        <v>6</v>
      </c>
      <c r="F9" s="10"/>
      <c r="G9" s="11"/>
      <c r="H9" s="12"/>
      <c r="I9" s="4"/>
      <c r="J9" s="4"/>
      <c r="K9" s="4"/>
    </row>
    <row r="10" spans="2:11" x14ac:dyDescent="0.35">
      <c r="B10" s="8" t="s">
        <v>7</v>
      </c>
      <c r="C10" s="8">
        <f>C8+C9</f>
        <v>584480.01612903224</v>
      </c>
      <c r="E10" s="12"/>
      <c r="F10" s="12"/>
      <c r="H10" s="13"/>
      <c r="I10" s="4"/>
      <c r="J10" s="4"/>
      <c r="K10" s="4"/>
    </row>
    <row r="11" spans="2:11" x14ac:dyDescent="0.35">
      <c r="B11" s="4"/>
      <c r="C11" s="4"/>
      <c r="E11" s="12"/>
      <c r="I11" s="4"/>
      <c r="J11" s="4"/>
      <c r="K11" s="4"/>
    </row>
    <row r="12" spans="2:11" x14ac:dyDescent="0.35">
      <c r="B12" s="7" t="s">
        <v>8</v>
      </c>
      <c r="C12" s="4">
        <f>C9-C5</f>
        <v>34739.728709677423</v>
      </c>
      <c r="E12" s="13" t="s">
        <v>9</v>
      </c>
      <c r="F12" s="8" t="s">
        <v>10</v>
      </c>
      <c r="G12" s="14" t="s">
        <v>11</v>
      </c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I13" s="4"/>
      <c r="J13" s="4"/>
      <c r="K13" s="4"/>
    </row>
    <row r="14" spans="2:11" x14ac:dyDescent="0.35">
      <c r="B14" s="4" t="s">
        <v>13</v>
      </c>
      <c r="C14" s="4">
        <f>C8-C4</f>
        <v>182840.67741935485</v>
      </c>
      <c r="F14" s="4"/>
      <c r="I14" s="4"/>
      <c r="J14" s="4"/>
      <c r="K14" s="4"/>
    </row>
    <row r="15" spans="2:11" x14ac:dyDescent="0.35">
      <c r="B15" s="4" t="s">
        <v>14</v>
      </c>
      <c r="C15" s="4"/>
      <c r="F15" s="4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F16" s="4"/>
      <c r="I16" s="4"/>
      <c r="J16" s="4"/>
      <c r="K16" s="4"/>
    </row>
    <row r="17" spans="2:14" x14ac:dyDescent="0.35">
      <c r="B17" s="4" t="s">
        <v>16</v>
      </c>
      <c r="C17" s="4">
        <f>C10-C6-C12-C15-C16</f>
        <v>182840.67741935485</v>
      </c>
      <c r="F17" s="4"/>
      <c r="I17" s="4"/>
      <c r="J17" s="4"/>
      <c r="K17" s="4"/>
    </row>
    <row r="18" spans="2:14" x14ac:dyDescent="0.35">
      <c r="B18" s="4"/>
      <c r="C18" s="4"/>
      <c r="F18" s="4"/>
      <c r="I18" s="4"/>
      <c r="J18" s="4"/>
      <c r="K18" s="4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I19" s="4"/>
      <c r="J19" s="4"/>
      <c r="K19" s="4"/>
    </row>
    <row r="20" spans="2:14" x14ac:dyDescent="0.35">
      <c r="B20" s="4"/>
      <c r="C20" s="4"/>
      <c r="D20" s="18"/>
      <c r="E20" s="18"/>
      <c r="F20" s="18"/>
      <c r="I20" s="4"/>
      <c r="J20" s="4"/>
    </row>
    <row r="21" spans="2:14" x14ac:dyDescent="0.35">
      <c r="B21" s="19" t="s">
        <v>18</v>
      </c>
      <c r="C21" s="20">
        <f>C17-C19-C18-C20</f>
        <v>182840.67741935485</v>
      </c>
      <c r="I21" s="4"/>
      <c r="J21" s="4"/>
    </row>
    <row r="22" spans="2:14" x14ac:dyDescent="0.35">
      <c r="B22" s="4"/>
      <c r="C22" s="4"/>
      <c r="I22" s="4"/>
      <c r="J22" s="4"/>
      <c r="K22" s="4"/>
      <c r="L22" s="4"/>
      <c r="M22" s="4"/>
      <c r="N22" s="4"/>
    </row>
    <row r="23" spans="2:14" x14ac:dyDescent="0.35">
      <c r="B23" s="19" t="s">
        <v>19</v>
      </c>
      <c r="C23" s="21">
        <f>C14*12.5%</f>
        <v>22855.084677419356</v>
      </c>
      <c r="E23" s="136" t="s">
        <v>20</v>
      </c>
      <c r="F23" s="136" t="s">
        <v>21</v>
      </c>
      <c r="G23" s="11" t="s">
        <v>22</v>
      </c>
      <c r="I23" s="1"/>
      <c r="M23" s="4"/>
      <c r="N23" s="4"/>
    </row>
    <row r="24" spans="2:14" x14ac:dyDescent="0.35">
      <c r="B24" s="52"/>
      <c r="C24" s="16"/>
      <c r="I24" s="1"/>
      <c r="K24" s="53"/>
      <c r="L24" s="53"/>
      <c r="M24" s="4"/>
      <c r="N24" s="4"/>
    </row>
    <row r="25" spans="2:14" x14ac:dyDescent="0.35">
      <c r="B25" s="19" t="s">
        <v>23</v>
      </c>
      <c r="C25" s="21">
        <f>C21-C23</f>
        <v>159985.59274193548</v>
      </c>
      <c r="D25" s="136" t="s">
        <v>24</v>
      </c>
      <c r="E25" s="8">
        <f>C25*100/C8</f>
        <v>32.573030746849945</v>
      </c>
      <c r="F25" s="3" t="s">
        <v>25</v>
      </c>
      <c r="I25" s="1"/>
    </row>
    <row r="26" spans="2:14" x14ac:dyDescent="0.35">
      <c r="I26" s="1"/>
    </row>
    <row r="27" spans="2:14" x14ac:dyDescent="0.35">
      <c r="B27" s="19" t="s">
        <v>26</v>
      </c>
      <c r="C27" s="21">
        <f>C25*0%</f>
        <v>0</v>
      </c>
      <c r="D27" s="33" t="s">
        <v>27</v>
      </c>
      <c r="I27" s="1"/>
    </row>
    <row r="28" spans="2:14" x14ac:dyDescent="0.35">
      <c r="I28" s="1"/>
    </row>
    <row r="29" spans="2:14" x14ac:dyDescent="0.35">
      <c r="B29" s="19" t="s">
        <v>28</v>
      </c>
      <c r="C29" s="20">
        <f>C25-C27</f>
        <v>159985.59274193548</v>
      </c>
      <c r="I29" s="1"/>
    </row>
    <row r="30" spans="2:14" x14ac:dyDescent="0.35">
      <c r="B30" s="52"/>
      <c r="C30" s="13"/>
      <c r="I30" s="1"/>
    </row>
    <row r="31" spans="2:14" x14ac:dyDescent="0.35">
      <c r="B31" s="19" t="s">
        <v>29</v>
      </c>
      <c r="C31" s="20">
        <v>0</v>
      </c>
      <c r="I31" s="1"/>
    </row>
    <row r="32" spans="2:14" x14ac:dyDescent="0.35">
      <c r="B32" s="52"/>
      <c r="C32" s="16"/>
      <c r="I32" s="1"/>
    </row>
    <row r="33" spans="2:9" x14ac:dyDescent="0.35">
      <c r="B33" s="19" t="s">
        <v>30</v>
      </c>
      <c r="C33" s="20">
        <f>C29*0/100</f>
        <v>0</v>
      </c>
      <c r="I33" s="1"/>
    </row>
    <row r="34" spans="2:9" x14ac:dyDescent="0.35">
      <c r="B34" s="23"/>
      <c r="C34" s="13"/>
      <c r="I34" s="1"/>
    </row>
    <row r="35" spans="2:9" x14ac:dyDescent="0.35">
      <c r="B35" s="19" t="s">
        <v>31</v>
      </c>
      <c r="C35" s="20">
        <f>C29-C31-C33</f>
        <v>159985.59274193548</v>
      </c>
      <c r="D35" s="33" t="s">
        <v>27</v>
      </c>
      <c r="E35" s="16"/>
      <c r="F35" s="16"/>
      <c r="H35" s="12"/>
      <c r="I35" s="1"/>
    </row>
    <row r="36" spans="2:9" x14ac:dyDescent="0.35">
      <c r="B36" s="23"/>
      <c r="C36" s="13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1"/>
    </row>
    <row r="39" spans="2:9" ht="16" customHeight="1" x14ac:dyDescent="0.35">
      <c r="B39" s="66" t="s">
        <v>122</v>
      </c>
      <c r="C39" s="62">
        <v>100</v>
      </c>
      <c r="D39" s="54">
        <v>2983.19</v>
      </c>
      <c r="E39" s="77">
        <f>D39/(1-38%)</f>
        <v>4811.5967741935483</v>
      </c>
      <c r="F39" s="55">
        <f t="shared" ref="F39:F44" si="0">D39*C39</f>
        <v>298319</v>
      </c>
      <c r="G39" s="55">
        <f t="shared" ref="G39:G44" si="1">E39*C39</f>
        <v>481159.67741935485</v>
      </c>
      <c r="H39" s="55">
        <f t="shared" ref="H39:H44" si="2">G39-F39</f>
        <v>182840.67741935485</v>
      </c>
      <c r="I39" s="59" t="s">
        <v>123</v>
      </c>
    </row>
    <row r="40" spans="2:9" ht="16" customHeight="1" x14ac:dyDescent="0.35">
      <c r="B40" s="66" t="s">
        <v>109</v>
      </c>
      <c r="C40" s="63">
        <v>1</v>
      </c>
      <c r="D40" s="54">
        <v>10000</v>
      </c>
      <c r="E40" s="77">
        <v>10000</v>
      </c>
      <c r="F40" s="55">
        <f t="shared" si="0"/>
        <v>10000</v>
      </c>
      <c r="G40" s="55">
        <f t="shared" si="1"/>
        <v>10000</v>
      </c>
      <c r="H40" s="55">
        <f t="shared" si="2"/>
        <v>0</v>
      </c>
      <c r="I40" s="59"/>
    </row>
    <row r="41" spans="2:9" ht="16" customHeight="1" x14ac:dyDescent="0.35">
      <c r="B41" s="66"/>
      <c r="C41" s="63"/>
      <c r="D41" s="54"/>
      <c r="E41" s="77">
        <f t="shared" ref="E41:E43" si="3">D41/(1-18%)</f>
        <v>0</v>
      </c>
      <c r="F41" s="55">
        <f t="shared" si="0"/>
        <v>0</v>
      </c>
      <c r="G41" s="55">
        <f t="shared" si="1"/>
        <v>0</v>
      </c>
      <c r="H41" s="55">
        <f t="shared" si="2"/>
        <v>0</v>
      </c>
      <c r="I41" s="59"/>
    </row>
    <row r="42" spans="2:9" ht="16" customHeight="1" x14ac:dyDescent="0.35">
      <c r="B42" s="66"/>
      <c r="C42" s="60"/>
      <c r="D42" s="54"/>
      <c r="E42" s="77">
        <f t="shared" si="3"/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9"/>
    </row>
    <row r="43" spans="2:9" x14ac:dyDescent="0.35">
      <c r="B43" s="58"/>
      <c r="C43" s="61"/>
      <c r="D43" s="54"/>
      <c r="E43" s="77">
        <f t="shared" si="3"/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B44" s="58"/>
      <c r="C44" s="61"/>
      <c r="D44" s="54"/>
      <c r="E44" s="77">
        <f>D44/(1-18%)</f>
        <v>0</v>
      </c>
      <c r="F44" s="55">
        <f t="shared" si="0"/>
        <v>0</v>
      </c>
      <c r="G44" s="55">
        <f t="shared" si="1"/>
        <v>0</v>
      </c>
      <c r="H44" s="55">
        <f t="shared" si="2"/>
        <v>0</v>
      </c>
      <c r="I44" s="51"/>
    </row>
    <row r="45" spans="2:9" x14ac:dyDescent="0.35">
      <c r="D45" s="30"/>
      <c r="E45" s="3" t="s">
        <v>41</v>
      </c>
      <c r="F45" s="31">
        <f>SUM(F39:F44)</f>
        <v>308319</v>
      </c>
      <c r="G45" s="31">
        <f>SUM(G39:G44)</f>
        <v>491159.67741935485</v>
      </c>
      <c r="H45" s="31">
        <f>SUM(H39:H44)</f>
        <v>182840.67741935485</v>
      </c>
      <c r="I45" s="1"/>
    </row>
    <row r="46" spans="2:9" x14ac:dyDescent="0.35">
      <c r="B46" s="12" t="s">
        <v>12</v>
      </c>
      <c r="I46" s="1"/>
    </row>
    <row r="47" spans="2:9" x14ac:dyDescent="0.35">
      <c r="C47" s="65"/>
      <c r="I47" s="1"/>
    </row>
    <row r="48" spans="2:9" x14ac:dyDescent="0.35">
      <c r="C48" s="65"/>
      <c r="I48" s="1"/>
    </row>
    <row r="49" spans="4:9" x14ac:dyDescent="0.35">
      <c r="D49" s="65"/>
      <c r="I49" s="1"/>
    </row>
    <row r="50" spans="4:9" x14ac:dyDescent="0.35">
      <c r="I50" s="1"/>
    </row>
  </sheetData>
  <mergeCells count="5">
    <mergeCell ref="B2:C2"/>
    <mergeCell ref="E2:F2"/>
    <mergeCell ref="B3:C3"/>
    <mergeCell ref="E3:F3"/>
    <mergeCell ref="B37:H37"/>
  </mergeCells>
  <hyperlinks>
    <hyperlink ref="I39" r:id="rId1" xr:uid="{36FE6A46-5354-48F5-AC38-AB6C446B2568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3B8E-9B2D-45FF-A6CC-0D350CB71C0E}">
  <sheetPr codeName="Hoja19"/>
  <dimension ref="B1:N50"/>
  <sheetViews>
    <sheetView topLeftCell="A3" zoomScale="85" zoomScaleNormal="85" workbookViewId="0">
      <selection activeCell="D40" sqref="D40"/>
    </sheetView>
  </sheetViews>
  <sheetFormatPr baseColWidth="10" defaultColWidth="12.453125" defaultRowHeight="14.5" x14ac:dyDescent="0.35"/>
  <cols>
    <col min="1" max="1" width="4" style="1" customWidth="1"/>
    <col min="2" max="2" width="104.54296875" style="1" bestFit="1" customWidth="1"/>
    <col min="3" max="3" width="24.54296875" style="1" bestFit="1" customWidth="1"/>
    <col min="4" max="4" width="13.54296875" style="1" customWidth="1"/>
    <col min="5" max="6" width="17.81640625" style="1" customWidth="1"/>
    <col min="7" max="7" width="19.453125" style="2" customWidth="1"/>
    <col min="8" max="8" width="19.453125" style="1" customWidth="1"/>
    <col min="9" max="9" width="75.54296875" style="76" bestFit="1" customWidth="1"/>
    <col min="10" max="10" width="9.1796875" style="1" bestFit="1" customWidth="1"/>
    <col min="11" max="11" width="13" style="1" bestFit="1" customWidth="1"/>
    <col min="12" max="16384" width="12.453125" style="1"/>
  </cols>
  <sheetData>
    <row r="1" spans="2:11" ht="15" thickBot="1" x14ac:dyDescent="0.4">
      <c r="I1" s="1"/>
    </row>
    <row r="2" spans="2:11" ht="15" customHeight="1" thickBot="1" x14ac:dyDescent="0.4">
      <c r="B2" s="143"/>
      <c r="C2" s="144"/>
      <c r="E2" s="145"/>
      <c r="F2" s="145"/>
      <c r="I2" s="1"/>
    </row>
    <row r="3" spans="2:11" ht="15" thickBot="1" x14ac:dyDescent="0.4">
      <c r="B3" s="146"/>
      <c r="C3" s="147"/>
      <c r="D3" s="3"/>
      <c r="E3" s="145"/>
      <c r="F3" s="145"/>
      <c r="H3" s="3"/>
      <c r="I3" s="1"/>
    </row>
    <row r="4" spans="2:11" x14ac:dyDescent="0.35">
      <c r="B4" s="4" t="s">
        <v>0</v>
      </c>
      <c r="C4" s="4">
        <f>F45</f>
        <v>27398.31</v>
      </c>
      <c r="I4" s="1"/>
      <c r="K4" s="4"/>
    </row>
    <row r="5" spans="2:11" ht="15" thickBot="1" x14ac:dyDescent="0.4">
      <c r="B5" s="4" t="s">
        <v>1</v>
      </c>
      <c r="C5" s="6">
        <f>C4*19%</f>
        <v>5205.6788999999999</v>
      </c>
      <c r="E5" s="3" t="s">
        <v>2</v>
      </c>
      <c r="I5" s="1"/>
      <c r="K5" s="4"/>
    </row>
    <row r="6" spans="2:11" ht="15" thickTop="1" x14ac:dyDescent="0.35">
      <c r="B6" s="7" t="s">
        <v>3</v>
      </c>
      <c r="C6" s="8">
        <f>SUM(C4:C5)</f>
        <v>32603.9889</v>
      </c>
      <c r="I6" s="1"/>
      <c r="K6" s="4"/>
    </row>
    <row r="7" spans="2:11" x14ac:dyDescent="0.35">
      <c r="B7" s="4"/>
      <c r="C7" s="4"/>
      <c r="I7" s="1"/>
      <c r="K7" s="4"/>
    </row>
    <row r="8" spans="2:11" x14ac:dyDescent="0.35">
      <c r="B8" s="4" t="s">
        <v>4</v>
      </c>
      <c r="C8" s="4">
        <f>G45</f>
        <v>42380.383333333331</v>
      </c>
      <c r="I8" s="1"/>
      <c r="K8" s="4"/>
    </row>
    <row r="9" spans="2:11" ht="15" thickBot="1" x14ac:dyDescent="0.4">
      <c r="B9" s="4" t="s">
        <v>5</v>
      </c>
      <c r="C9" s="6">
        <f>C8*19%</f>
        <v>8052.2728333333334</v>
      </c>
      <c r="E9" s="9" t="s">
        <v>6</v>
      </c>
      <c r="F9" s="10"/>
      <c r="G9" s="11"/>
      <c r="H9" s="12"/>
      <c r="I9" s="4"/>
      <c r="J9" s="4"/>
      <c r="K9" s="4"/>
    </row>
    <row r="10" spans="2:11" ht="15" thickTop="1" x14ac:dyDescent="0.35">
      <c r="B10" s="8" t="s">
        <v>7</v>
      </c>
      <c r="C10" s="8">
        <f>C8+C9</f>
        <v>50432.656166666668</v>
      </c>
      <c r="E10" s="12"/>
      <c r="F10" s="12"/>
      <c r="H10" s="13"/>
      <c r="I10" s="4"/>
      <c r="J10" s="4"/>
      <c r="K10" s="4"/>
    </row>
    <row r="11" spans="2:11" x14ac:dyDescent="0.35">
      <c r="B11" s="4"/>
      <c r="C11" s="4"/>
      <c r="E11" s="12"/>
      <c r="I11" s="4"/>
      <c r="J11" s="4"/>
      <c r="K11" s="4"/>
    </row>
    <row r="12" spans="2:11" x14ac:dyDescent="0.35">
      <c r="B12" s="7" t="s">
        <v>8</v>
      </c>
      <c r="C12" s="4">
        <f>C9-C5</f>
        <v>2846.5939333333336</v>
      </c>
      <c r="E12" s="13" t="s">
        <v>9</v>
      </c>
      <c r="F12" s="8" t="s">
        <v>10</v>
      </c>
      <c r="G12" s="14" t="s">
        <v>11</v>
      </c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I13" s="4"/>
      <c r="J13" s="4"/>
      <c r="K13" s="4"/>
    </row>
    <row r="14" spans="2:11" x14ac:dyDescent="0.35">
      <c r="B14" s="4" t="s">
        <v>13</v>
      </c>
      <c r="C14" s="4">
        <f>C8-C4</f>
        <v>14982.07333333333</v>
      </c>
      <c r="F14" s="4"/>
      <c r="I14" s="4"/>
      <c r="J14" s="4"/>
      <c r="K14" s="4"/>
    </row>
    <row r="15" spans="2:11" x14ac:dyDescent="0.35">
      <c r="B15" s="4" t="s">
        <v>14</v>
      </c>
      <c r="C15" s="4"/>
      <c r="F15" s="4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F16" s="4"/>
      <c r="I16" s="4"/>
      <c r="J16" s="4"/>
      <c r="K16" s="4"/>
    </row>
    <row r="17" spans="2:14" x14ac:dyDescent="0.35">
      <c r="B17" s="4" t="s">
        <v>16</v>
      </c>
      <c r="C17" s="4">
        <f>C10-C6-C12-C15-C16</f>
        <v>14982.073333333334</v>
      </c>
      <c r="F17" s="4"/>
      <c r="I17" s="4"/>
      <c r="J17" s="4"/>
      <c r="K17" s="4"/>
    </row>
    <row r="18" spans="2:14" x14ac:dyDescent="0.35">
      <c r="B18" s="4"/>
      <c r="C18" s="4"/>
      <c r="F18" s="4"/>
      <c r="I18" s="4"/>
      <c r="J18" s="4"/>
      <c r="K18" s="4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I19" s="4"/>
      <c r="J19" s="4"/>
      <c r="K19" s="4"/>
    </row>
    <row r="20" spans="2:14" ht="15" thickBot="1" x14ac:dyDescent="0.4">
      <c r="B20" s="4"/>
      <c r="C20" s="4"/>
      <c r="D20" s="18"/>
      <c r="E20" s="18"/>
      <c r="F20" s="18"/>
      <c r="I20" s="4"/>
      <c r="J20" s="4"/>
    </row>
    <row r="21" spans="2:14" ht="15" thickBot="1" x14ac:dyDescent="0.4">
      <c r="B21" s="19" t="s">
        <v>18</v>
      </c>
      <c r="C21" s="20">
        <f>C17-C19-C18-C20</f>
        <v>14982.073333333334</v>
      </c>
      <c r="I21" s="4"/>
      <c r="J21" s="4"/>
    </row>
    <row r="22" spans="2:14" ht="15" thickBot="1" x14ac:dyDescent="0.4">
      <c r="B22" s="4"/>
      <c r="C22" s="4"/>
      <c r="I22" s="4"/>
      <c r="J22" s="4"/>
      <c r="K22" s="4"/>
      <c r="L22" s="4"/>
      <c r="M22" s="4"/>
      <c r="N22" s="4"/>
    </row>
    <row r="23" spans="2:14" ht="15" thickBot="1" x14ac:dyDescent="0.4">
      <c r="B23" s="19" t="s">
        <v>19</v>
      </c>
      <c r="C23" s="21">
        <f>C14*12.5%</f>
        <v>1872.7591666666663</v>
      </c>
      <c r="E23" s="136" t="s">
        <v>20</v>
      </c>
      <c r="F23" s="136" t="s">
        <v>21</v>
      </c>
      <c r="G23" s="11" t="s">
        <v>22</v>
      </c>
      <c r="I23" s="1"/>
      <c r="M23" s="4"/>
      <c r="N23" s="4"/>
    </row>
    <row r="24" spans="2:14" ht="15" thickBot="1" x14ac:dyDescent="0.4">
      <c r="B24" s="52"/>
      <c r="C24" s="16"/>
      <c r="I24" s="1"/>
      <c r="K24" s="53"/>
      <c r="L24" s="53"/>
      <c r="M24" s="4"/>
      <c r="N24" s="4"/>
    </row>
    <row r="25" spans="2:14" ht="15" thickBot="1" x14ac:dyDescent="0.4">
      <c r="B25" s="19" t="s">
        <v>23</v>
      </c>
      <c r="C25" s="21">
        <f>C21-C23</f>
        <v>13109.314166666667</v>
      </c>
      <c r="D25" s="136" t="s">
        <v>24</v>
      </c>
      <c r="E25" s="8">
        <f>C25*100/C8</f>
        <v>30.93250493644269</v>
      </c>
      <c r="F25" s="3" t="s">
        <v>25</v>
      </c>
      <c r="I25" s="1"/>
    </row>
    <row r="26" spans="2:14" ht="15" thickBot="1" x14ac:dyDescent="0.4">
      <c r="I26" s="1"/>
    </row>
    <row r="27" spans="2:14" ht="15" thickBot="1" x14ac:dyDescent="0.4">
      <c r="B27" s="19" t="s">
        <v>26</v>
      </c>
      <c r="C27" s="21">
        <f>C25*0%</f>
        <v>0</v>
      </c>
      <c r="D27" s="33" t="s">
        <v>27</v>
      </c>
      <c r="I27" s="1"/>
    </row>
    <row r="28" spans="2:14" ht="15" thickBot="1" x14ac:dyDescent="0.4">
      <c r="I28" s="1"/>
    </row>
    <row r="29" spans="2:14" ht="15" thickBot="1" x14ac:dyDescent="0.4">
      <c r="B29" s="19" t="s">
        <v>28</v>
      </c>
      <c r="C29" s="20">
        <f>C25-C27</f>
        <v>13109.314166666667</v>
      </c>
      <c r="I29" s="1"/>
    </row>
    <row r="30" spans="2:14" ht="15" thickBot="1" x14ac:dyDescent="0.4">
      <c r="B30" s="52"/>
      <c r="C30" s="13"/>
      <c r="I30" s="1"/>
    </row>
    <row r="31" spans="2:14" ht="15" thickBot="1" x14ac:dyDescent="0.4">
      <c r="B31" s="19" t="s">
        <v>29</v>
      </c>
      <c r="C31" s="20">
        <v>0</v>
      </c>
      <c r="I31" s="1"/>
    </row>
    <row r="32" spans="2:14" ht="15" thickBot="1" x14ac:dyDescent="0.4">
      <c r="B32" s="52"/>
      <c r="C32" s="16"/>
      <c r="I32" s="1"/>
    </row>
    <row r="33" spans="2:9" ht="15" thickBot="1" x14ac:dyDescent="0.4">
      <c r="B33" s="19" t="s">
        <v>30</v>
      </c>
      <c r="C33" s="20">
        <f>C29*0/100</f>
        <v>0</v>
      </c>
      <c r="I33" s="1"/>
    </row>
    <row r="34" spans="2:9" ht="15" thickBot="1" x14ac:dyDescent="0.4">
      <c r="B34" s="23"/>
      <c r="C34" s="13"/>
      <c r="I34" s="1"/>
    </row>
    <row r="35" spans="2:9" ht="15" thickBot="1" x14ac:dyDescent="0.4">
      <c r="B35" s="19" t="s">
        <v>31</v>
      </c>
      <c r="C35" s="20">
        <f>C29-C31-C33</f>
        <v>13109.314166666667</v>
      </c>
      <c r="D35" s="33" t="s">
        <v>27</v>
      </c>
      <c r="E35" s="16"/>
      <c r="F35" s="16"/>
      <c r="H35" s="12"/>
      <c r="I35" s="1"/>
    </row>
    <row r="36" spans="2:9" ht="15" thickBot="1" x14ac:dyDescent="0.4">
      <c r="B36" s="23"/>
      <c r="C36" s="13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1"/>
    </row>
    <row r="39" spans="2:9" ht="16" customHeight="1" x14ac:dyDescent="0.35">
      <c r="B39" s="66" t="s">
        <v>124</v>
      </c>
      <c r="C39" s="62">
        <v>1</v>
      </c>
      <c r="D39" s="54">
        <v>3800</v>
      </c>
      <c r="E39" s="77">
        <v>10915.97</v>
      </c>
      <c r="F39" s="55">
        <f t="shared" ref="F39:F44" si="0">D39*C39</f>
        <v>3800</v>
      </c>
      <c r="G39" s="55">
        <f t="shared" ref="G39:G44" si="1">E39*C39</f>
        <v>10915.97</v>
      </c>
      <c r="H39" s="55">
        <f t="shared" ref="H39:H44" si="2">G39-F39</f>
        <v>7115.9699999999993</v>
      </c>
      <c r="I39" s="59"/>
    </row>
    <row r="40" spans="2:9" ht="16" customHeight="1" x14ac:dyDescent="0.35">
      <c r="B40" s="66" t="s">
        <v>125</v>
      </c>
      <c r="C40" s="63">
        <v>1</v>
      </c>
      <c r="D40" s="54">
        <v>23598.31</v>
      </c>
      <c r="E40" s="77">
        <f>D40/(1-25%)</f>
        <v>31464.413333333334</v>
      </c>
      <c r="F40" s="55">
        <f t="shared" si="0"/>
        <v>23598.31</v>
      </c>
      <c r="G40" s="55">
        <f t="shared" si="1"/>
        <v>31464.413333333334</v>
      </c>
      <c r="H40" s="55">
        <f t="shared" si="2"/>
        <v>7866.1033333333326</v>
      </c>
      <c r="I40" s="59" t="s">
        <v>126</v>
      </c>
    </row>
    <row r="41" spans="2:9" ht="16" customHeight="1" x14ac:dyDescent="0.35">
      <c r="B41" s="66"/>
      <c r="C41" s="63"/>
      <c r="D41" s="54"/>
      <c r="E41" s="77">
        <f t="shared" ref="E41:E43" si="3">D41/(1-18%)</f>
        <v>0</v>
      </c>
      <c r="F41" s="55">
        <f t="shared" si="0"/>
        <v>0</v>
      </c>
      <c r="G41" s="55">
        <f t="shared" si="1"/>
        <v>0</v>
      </c>
      <c r="H41" s="55">
        <f t="shared" si="2"/>
        <v>0</v>
      </c>
      <c r="I41" s="59"/>
    </row>
    <row r="42" spans="2:9" ht="16" customHeight="1" x14ac:dyDescent="0.35">
      <c r="B42" s="66"/>
      <c r="C42" s="60"/>
      <c r="D42" s="54"/>
      <c r="E42" s="77">
        <f t="shared" si="3"/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9"/>
    </row>
    <row r="43" spans="2:9" x14ac:dyDescent="0.35">
      <c r="B43" s="58"/>
      <c r="C43" s="61"/>
      <c r="D43" s="54"/>
      <c r="E43" s="77">
        <f t="shared" si="3"/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B44" s="58"/>
      <c r="C44" s="61"/>
      <c r="D44" s="54"/>
      <c r="E44" s="77">
        <f>D44/(1-18%)</f>
        <v>0</v>
      </c>
      <c r="F44" s="55">
        <f t="shared" si="0"/>
        <v>0</v>
      </c>
      <c r="G44" s="55">
        <f t="shared" si="1"/>
        <v>0</v>
      </c>
      <c r="H44" s="55">
        <f t="shared" si="2"/>
        <v>0</v>
      </c>
      <c r="I44" s="51"/>
    </row>
    <row r="45" spans="2:9" x14ac:dyDescent="0.35">
      <c r="D45" s="30"/>
      <c r="E45" s="3" t="s">
        <v>41</v>
      </c>
      <c r="F45" s="31">
        <f>SUM(F39:F44)</f>
        <v>27398.31</v>
      </c>
      <c r="G45" s="31">
        <f>SUM(G39:G44)</f>
        <v>42380.383333333331</v>
      </c>
      <c r="H45" s="31">
        <f>SUM(H39:H44)</f>
        <v>14982.073333333332</v>
      </c>
      <c r="I45" s="1"/>
    </row>
    <row r="46" spans="2:9" x14ac:dyDescent="0.35">
      <c r="B46" s="12" t="s">
        <v>12</v>
      </c>
      <c r="I46" s="1"/>
    </row>
    <row r="47" spans="2:9" x14ac:dyDescent="0.35">
      <c r="C47" s="65"/>
      <c r="I47" s="1"/>
    </row>
    <row r="48" spans="2:9" x14ac:dyDescent="0.35">
      <c r="C48" s="65"/>
      <c r="I48" s="1"/>
    </row>
    <row r="49" spans="4:9" x14ac:dyDescent="0.35">
      <c r="D49" s="65"/>
      <c r="I49" s="1"/>
    </row>
    <row r="50" spans="4:9" x14ac:dyDescent="0.35">
      <c r="I50" s="1"/>
    </row>
  </sheetData>
  <mergeCells count="5">
    <mergeCell ref="B2:C2"/>
    <mergeCell ref="E2:F2"/>
    <mergeCell ref="B3:C3"/>
    <mergeCell ref="E3:F3"/>
    <mergeCell ref="B37:H3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D0B0-FFCC-481E-876D-D1DAD01A557E}">
  <sheetPr codeName="Hoja21"/>
  <dimension ref="B1:N50"/>
  <sheetViews>
    <sheetView topLeftCell="A26" zoomScale="85" zoomScaleNormal="85" workbookViewId="0">
      <selection activeCell="E30" sqref="E30"/>
    </sheetView>
  </sheetViews>
  <sheetFormatPr baseColWidth="10" defaultColWidth="12.453125" defaultRowHeight="14.5" x14ac:dyDescent="0.35"/>
  <cols>
    <col min="1" max="1" width="4" style="1" customWidth="1"/>
    <col min="2" max="2" width="104.54296875" style="1" bestFit="1" customWidth="1"/>
    <col min="3" max="3" width="24.54296875" style="1" bestFit="1" customWidth="1"/>
    <col min="4" max="4" width="13.54296875" style="1" customWidth="1"/>
    <col min="5" max="6" width="17.81640625" style="1" customWidth="1"/>
    <col min="7" max="7" width="19.453125" style="2" customWidth="1"/>
    <col min="8" max="8" width="19.453125" style="1" customWidth="1"/>
    <col min="9" max="9" width="75.54296875" style="76" bestFit="1" customWidth="1"/>
    <col min="10" max="10" width="9.1796875" style="1" bestFit="1" customWidth="1"/>
    <col min="11" max="11" width="13" style="1" bestFit="1" customWidth="1"/>
    <col min="12" max="16384" width="12.453125" style="1"/>
  </cols>
  <sheetData>
    <row r="1" spans="2:11" x14ac:dyDescent="0.35">
      <c r="I1" s="1"/>
    </row>
    <row r="2" spans="2:11" ht="15" customHeight="1" x14ac:dyDescent="0.35">
      <c r="B2" s="143"/>
      <c r="C2" s="144"/>
      <c r="E2" s="145"/>
      <c r="F2" s="145"/>
      <c r="I2" s="1"/>
    </row>
    <row r="3" spans="2:11" x14ac:dyDescent="0.35">
      <c r="B3" s="146"/>
      <c r="C3" s="147"/>
      <c r="D3" s="3"/>
      <c r="E3" s="145"/>
      <c r="F3" s="145"/>
      <c r="H3" s="3"/>
      <c r="I3" s="1"/>
    </row>
    <row r="4" spans="2:11" x14ac:dyDescent="0.35">
      <c r="B4" s="4" t="s">
        <v>0</v>
      </c>
      <c r="C4" s="4">
        <f>F45</f>
        <v>1361601</v>
      </c>
      <c r="I4" s="1"/>
      <c r="K4" s="4"/>
    </row>
    <row r="5" spans="2:11" x14ac:dyDescent="0.35">
      <c r="B5" s="4" t="s">
        <v>1</v>
      </c>
      <c r="C5" s="6">
        <f>C4*19%</f>
        <v>258704.19</v>
      </c>
      <c r="E5" s="3" t="s">
        <v>2</v>
      </c>
      <c r="I5" s="1"/>
      <c r="K5" s="4"/>
    </row>
    <row r="6" spans="2:11" x14ac:dyDescent="0.35">
      <c r="B6" s="7" t="s">
        <v>3</v>
      </c>
      <c r="C6" s="8">
        <f>SUM(C4:C5)</f>
        <v>1620305.19</v>
      </c>
      <c r="I6" s="1"/>
      <c r="K6" s="4"/>
    </row>
    <row r="7" spans="2:11" x14ac:dyDescent="0.35">
      <c r="B7" s="4"/>
      <c r="C7" s="4"/>
      <c r="I7" s="1"/>
      <c r="K7" s="4"/>
    </row>
    <row r="8" spans="2:11" x14ac:dyDescent="0.35">
      <c r="B8" s="4" t="s">
        <v>4</v>
      </c>
      <c r="C8" s="4">
        <f>G45</f>
        <v>1871840</v>
      </c>
      <c r="I8" s="1"/>
      <c r="K8" s="4"/>
    </row>
    <row r="9" spans="2:11" x14ac:dyDescent="0.35">
      <c r="B9" s="4" t="s">
        <v>5</v>
      </c>
      <c r="C9" s="6">
        <f>C8*19%</f>
        <v>355649.6</v>
      </c>
      <c r="E9" s="9" t="s">
        <v>6</v>
      </c>
      <c r="F9" s="10"/>
      <c r="G9" s="11"/>
      <c r="H9" s="12"/>
      <c r="I9" s="4"/>
      <c r="J9" s="4"/>
      <c r="K9" s="4"/>
    </row>
    <row r="10" spans="2:11" x14ac:dyDescent="0.35">
      <c r="B10" s="8" t="s">
        <v>7</v>
      </c>
      <c r="C10" s="8">
        <f>C8+C9</f>
        <v>2227489.6</v>
      </c>
      <c r="E10" s="12"/>
      <c r="F10" s="12"/>
      <c r="H10" s="13"/>
      <c r="I10" s="4"/>
      <c r="J10" s="4"/>
      <c r="K10" s="4"/>
    </row>
    <row r="11" spans="2:11" x14ac:dyDescent="0.35">
      <c r="B11" s="4"/>
      <c r="C11" s="4"/>
      <c r="E11" s="12"/>
      <c r="I11" s="4"/>
      <c r="J11" s="4"/>
      <c r="K11" s="4"/>
    </row>
    <row r="12" spans="2:11" x14ac:dyDescent="0.35">
      <c r="B12" s="7" t="s">
        <v>8</v>
      </c>
      <c r="C12" s="4">
        <f>C9-C5</f>
        <v>96945.409999999974</v>
      </c>
      <c r="E12" s="13" t="s">
        <v>9</v>
      </c>
      <c r="F12" s="8" t="s">
        <v>10</v>
      </c>
      <c r="G12" s="14" t="s">
        <v>11</v>
      </c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I13" s="4"/>
      <c r="J13" s="4"/>
      <c r="K13" s="4"/>
    </row>
    <row r="14" spans="2:11" x14ac:dyDescent="0.35">
      <c r="B14" s="4" t="s">
        <v>13</v>
      </c>
      <c r="C14" s="4">
        <f>C8-C4</f>
        <v>510239</v>
      </c>
      <c r="F14" s="4"/>
      <c r="I14" s="4"/>
      <c r="J14" s="4"/>
      <c r="K14" s="4"/>
    </row>
    <row r="15" spans="2:11" x14ac:dyDescent="0.35">
      <c r="B15" s="4" t="s">
        <v>14</v>
      </c>
      <c r="C15" s="4"/>
      <c r="F15" s="4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F16" s="4"/>
      <c r="I16" s="4"/>
      <c r="J16" s="4"/>
      <c r="K16" s="4"/>
    </row>
    <row r="17" spans="2:14" x14ac:dyDescent="0.35">
      <c r="B17" s="4" t="s">
        <v>16</v>
      </c>
      <c r="C17" s="4">
        <f>C10-C6-C12-C15-C16</f>
        <v>510239.00000000017</v>
      </c>
      <c r="F17" s="4"/>
      <c r="I17" s="4"/>
      <c r="J17" s="4"/>
      <c r="K17" s="4"/>
    </row>
    <row r="18" spans="2:14" x14ac:dyDescent="0.35">
      <c r="B18" s="4"/>
      <c r="C18" s="4"/>
      <c r="F18" s="4"/>
      <c r="I18" s="4"/>
      <c r="J18" s="4"/>
      <c r="K18" s="4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I19" s="4"/>
      <c r="J19" s="4"/>
      <c r="K19" s="4"/>
    </row>
    <row r="20" spans="2:14" x14ac:dyDescent="0.35">
      <c r="B20" s="4"/>
      <c r="C20" s="4"/>
      <c r="D20" s="18"/>
      <c r="E20" s="18"/>
      <c r="F20" s="18"/>
      <c r="I20" s="4"/>
      <c r="J20" s="4"/>
    </row>
    <row r="21" spans="2:14" x14ac:dyDescent="0.35">
      <c r="B21" s="19" t="s">
        <v>18</v>
      </c>
      <c r="C21" s="20">
        <f>C17-C19-C18-C20</f>
        <v>510239.00000000017</v>
      </c>
      <c r="I21" s="4"/>
      <c r="J21" s="4"/>
    </row>
    <row r="22" spans="2:14" x14ac:dyDescent="0.35">
      <c r="B22" s="4"/>
      <c r="C22" s="4"/>
      <c r="I22" s="4"/>
      <c r="J22" s="4"/>
      <c r="K22" s="4"/>
      <c r="L22" s="4"/>
      <c r="M22" s="4"/>
      <c r="N22" s="4"/>
    </row>
    <row r="23" spans="2:14" x14ac:dyDescent="0.35">
      <c r="B23" s="19" t="s">
        <v>19</v>
      </c>
      <c r="C23" s="21">
        <f>C14*12.5%</f>
        <v>63779.875</v>
      </c>
      <c r="E23" s="136" t="s">
        <v>20</v>
      </c>
      <c r="F23" s="136" t="s">
        <v>21</v>
      </c>
      <c r="G23" s="11" t="s">
        <v>22</v>
      </c>
      <c r="I23" s="1"/>
      <c r="M23" s="4"/>
      <c r="N23" s="4"/>
    </row>
    <row r="24" spans="2:14" x14ac:dyDescent="0.35">
      <c r="B24" s="52"/>
      <c r="C24" s="16"/>
      <c r="I24" s="1"/>
      <c r="K24" s="53"/>
      <c r="L24" s="53"/>
      <c r="M24" s="4"/>
      <c r="N24" s="4"/>
    </row>
    <row r="25" spans="2:14" x14ac:dyDescent="0.35">
      <c r="B25" s="19" t="s">
        <v>23</v>
      </c>
      <c r="C25" s="21">
        <f>C21-C23</f>
        <v>446459.12500000017</v>
      </c>
      <c r="D25" s="136" t="s">
        <v>24</v>
      </c>
      <c r="E25" s="8">
        <f>C25*100/C8</f>
        <v>23.851350809898289</v>
      </c>
      <c r="F25" s="3" t="s">
        <v>25</v>
      </c>
      <c r="I25" s="1"/>
    </row>
    <row r="26" spans="2:14" x14ac:dyDescent="0.35">
      <c r="I26" s="1"/>
    </row>
    <row r="27" spans="2:14" x14ac:dyDescent="0.35">
      <c r="B27" s="19" t="s">
        <v>26</v>
      </c>
      <c r="C27" s="21">
        <f>C25*0%</f>
        <v>0</v>
      </c>
      <c r="D27" s="33" t="s">
        <v>27</v>
      </c>
      <c r="I27" s="1"/>
    </row>
    <row r="28" spans="2:14" x14ac:dyDescent="0.35">
      <c r="I28" s="1"/>
    </row>
    <row r="29" spans="2:14" x14ac:dyDescent="0.35">
      <c r="B29" s="19" t="s">
        <v>28</v>
      </c>
      <c r="C29" s="20">
        <f>C25-C27</f>
        <v>446459.12500000017</v>
      </c>
      <c r="I29" s="1"/>
    </row>
    <row r="30" spans="2:14" x14ac:dyDescent="0.35">
      <c r="B30" s="52"/>
      <c r="C30" s="13"/>
      <c r="I30" s="1"/>
    </row>
    <row r="31" spans="2:14" x14ac:dyDescent="0.35">
      <c r="B31" s="19" t="s">
        <v>29</v>
      </c>
      <c r="C31" s="20">
        <v>0</v>
      </c>
      <c r="I31" s="1"/>
    </row>
    <row r="32" spans="2:14" x14ac:dyDescent="0.35">
      <c r="B32" s="52"/>
      <c r="C32" s="16"/>
      <c r="I32" s="1"/>
    </row>
    <row r="33" spans="2:9" x14ac:dyDescent="0.35">
      <c r="B33" s="19" t="s">
        <v>30</v>
      </c>
      <c r="C33" s="20">
        <f>C29*0/100</f>
        <v>0</v>
      </c>
      <c r="I33" s="1"/>
    </row>
    <row r="34" spans="2:9" x14ac:dyDescent="0.35">
      <c r="B34" s="23"/>
      <c r="C34" s="13"/>
      <c r="I34" s="1"/>
    </row>
    <row r="35" spans="2:9" x14ac:dyDescent="0.35">
      <c r="B35" s="19" t="s">
        <v>31</v>
      </c>
      <c r="C35" s="20">
        <f>C29-C31-C33</f>
        <v>446459.12500000017</v>
      </c>
      <c r="D35" s="33" t="s">
        <v>27</v>
      </c>
      <c r="E35" s="16"/>
      <c r="F35" s="16"/>
      <c r="H35" s="12"/>
      <c r="I35" s="1"/>
    </row>
    <row r="36" spans="2:9" x14ac:dyDescent="0.35">
      <c r="B36" s="23"/>
      <c r="C36" s="13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1"/>
    </row>
    <row r="39" spans="2:9" ht="16" customHeight="1" x14ac:dyDescent="0.35">
      <c r="B39" s="66" t="s">
        <v>128</v>
      </c>
      <c r="C39" s="63">
        <v>1</v>
      </c>
      <c r="D39" s="54">
        <v>1176471</v>
      </c>
      <c r="E39" s="77">
        <v>1625000</v>
      </c>
      <c r="F39" s="55">
        <f>D39*C39</f>
        <v>1176471</v>
      </c>
      <c r="G39" s="55">
        <f>E39*C39</f>
        <v>1625000</v>
      </c>
      <c r="H39" s="55">
        <f t="shared" ref="H39:H44" si="0">G39-F39</f>
        <v>448529</v>
      </c>
      <c r="I39" s="59" t="s">
        <v>129</v>
      </c>
    </row>
    <row r="40" spans="2:9" ht="16" customHeight="1" x14ac:dyDescent="0.35">
      <c r="B40" s="66" t="s">
        <v>130</v>
      </c>
      <c r="C40" s="63">
        <v>11</v>
      </c>
      <c r="D40" s="54">
        <v>16830</v>
      </c>
      <c r="E40" s="77">
        <f>D40/(1-25%)</f>
        <v>22440</v>
      </c>
      <c r="F40" s="55">
        <f t="shared" ref="F40:F44" si="1">D40*C40</f>
        <v>185130</v>
      </c>
      <c r="G40" s="55">
        <f t="shared" ref="G40:G44" si="2">E40*C40</f>
        <v>246840</v>
      </c>
      <c r="H40" s="55">
        <f t="shared" si="0"/>
        <v>61710</v>
      </c>
      <c r="I40" s="59" t="s">
        <v>131</v>
      </c>
    </row>
    <row r="41" spans="2:9" ht="16" customHeight="1" x14ac:dyDescent="0.35">
      <c r="B41" s="66"/>
      <c r="C41" s="63"/>
      <c r="D41" s="54"/>
      <c r="E41" s="77">
        <f>D41/(1-18%)</f>
        <v>0</v>
      </c>
      <c r="F41" s="55">
        <f>D41*C41</f>
        <v>0</v>
      </c>
      <c r="G41" s="55">
        <f>E41*C41</f>
        <v>0</v>
      </c>
      <c r="H41" s="55">
        <f t="shared" si="0"/>
        <v>0</v>
      </c>
      <c r="I41" s="59" t="s">
        <v>132</v>
      </c>
    </row>
    <row r="42" spans="2:9" ht="16" customHeight="1" x14ac:dyDescent="0.35">
      <c r="B42" s="66"/>
      <c r="C42" s="60"/>
      <c r="D42" s="54"/>
      <c r="E42" s="77">
        <f t="shared" ref="E42:E43" si="3">D42/(1-18%)</f>
        <v>0</v>
      </c>
      <c r="F42" s="55">
        <f t="shared" si="1"/>
        <v>0</v>
      </c>
      <c r="G42" s="55">
        <f t="shared" si="2"/>
        <v>0</v>
      </c>
      <c r="H42" s="55">
        <f t="shared" si="0"/>
        <v>0</v>
      </c>
      <c r="I42" s="59"/>
    </row>
    <row r="43" spans="2:9" x14ac:dyDescent="0.35">
      <c r="B43" s="58"/>
      <c r="C43" s="61"/>
      <c r="D43" s="54"/>
      <c r="E43" s="77">
        <f t="shared" si="3"/>
        <v>0</v>
      </c>
      <c r="F43" s="55">
        <f t="shared" si="1"/>
        <v>0</v>
      </c>
      <c r="G43" s="55">
        <f t="shared" si="2"/>
        <v>0</v>
      </c>
      <c r="H43" s="55">
        <f t="shared" si="0"/>
        <v>0</v>
      </c>
      <c r="I43" s="51"/>
    </row>
    <row r="44" spans="2:9" x14ac:dyDescent="0.35">
      <c r="B44" s="58"/>
      <c r="C44" s="61"/>
      <c r="D44" s="54"/>
      <c r="E44" s="77">
        <f>D44/(1-18%)</f>
        <v>0</v>
      </c>
      <c r="F44" s="55">
        <f t="shared" si="1"/>
        <v>0</v>
      </c>
      <c r="G44" s="55">
        <f t="shared" si="2"/>
        <v>0</v>
      </c>
      <c r="H44" s="55">
        <f t="shared" si="0"/>
        <v>0</v>
      </c>
      <c r="I44" s="51"/>
    </row>
    <row r="45" spans="2:9" x14ac:dyDescent="0.35">
      <c r="D45" s="30"/>
      <c r="E45" s="3" t="s">
        <v>41</v>
      </c>
      <c r="F45" s="31">
        <f>SUM(F39:F44)</f>
        <v>1361601</v>
      </c>
      <c r="G45" s="31">
        <f>SUM(G39:G44)</f>
        <v>1871840</v>
      </c>
      <c r="H45" s="31">
        <f>SUM(H39:H44)</f>
        <v>510239</v>
      </c>
      <c r="I45" s="1"/>
    </row>
    <row r="46" spans="2:9" x14ac:dyDescent="0.35">
      <c r="B46" s="12" t="s">
        <v>12</v>
      </c>
      <c r="I46" s="1"/>
    </row>
    <row r="47" spans="2:9" x14ac:dyDescent="0.35">
      <c r="C47" s="65"/>
      <c r="I47" s="1"/>
    </row>
    <row r="48" spans="2:9" x14ac:dyDescent="0.35">
      <c r="C48" s="65"/>
      <c r="I48" s="1"/>
    </row>
    <row r="49" spans="4:9" x14ac:dyDescent="0.35">
      <c r="D49" s="65"/>
      <c r="I49" s="1"/>
    </row>
    <row r="50" spans="4:9" x14ac:dyDescent="0.35">
      <c r="I50" s="1"/>
    </row>
  </sheetData>
  <mergeCells count="5">
    <mergeCell ref="B2:C2"/>
    <mergeCell ref="E2:F2"/>
    <mergeCell ref="B3:C3"/>
    <mergeCell ref="E3:F3"/>
    <mergeCell ref="B37:H37"/>
  </mergeCells>
  <hyperlinks>
    <hyperlink ref="I39" r:id="rId1" xr:uid="{DF570A51-67FD-467E-826D-F33B8A4D20B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D746D-1879-41A3-BA6C-D6A2FE0CFC60}">
  <sheetPr codeName="Hoja23"/>
  <dimension ref="B1:N49"/>
  <sheetViews>
    <sheetView zoomScale="85" zoomScaleNormal="85" workbookViewId="0">
      <selection activeCell="G31" sqref="G31"/>
    </sheetView>
  </sheetViews>
  <sheetFormatPr baseColWidth="10" defaultColWidth="12.453125" defaultRowHeight="14.5" x14ac:dyDescent="0.35"/>
  <cols>
    <col min="1" max="1" width="4" style="1" customWidth="1"/>
    <col min="2" max="2" width="104.54296875" style="1" bestFit="1" customWidth="1"/>
    <col min="3" max="3" width="24.54296875" style="1" bestFit="1" customWidth="1"/>
    <col min="4" max="4" width="13.54296875" style="1" customWidth="1"/>
    <col min="5" max="6" width="17.81640625" style="1" customWidth="1"/>
    <col min="7" max="7" width="19.453125" style="2" customWidth="1"/>
    <col min="8" max="8" width="19.453125" style="1" customWidth="1"/>
    <col min="9" max="9" width="75.54296875" style="76" bestFit="1" customWidth="1"/>
    <col min="10" max="10" width="9.1796875" style="1" bestFit="1" customWidth="1"/>
    <col min="11" max="11" width="13" style="1" bestFit="1" customWidth="1"/>
    <col min="12" max="16384" width="12.453125" style="1"/>
  </cols>
  <sheetData>
    <row r="1" spans="2:11" x14ac:dyDescent="0.35">
      <c r="I1" s="1"/>
    </row>
    <row r="2" spans="2:11" ht="15" customHeight="1" x14ac:dyDescent="0.35">
      <c r="B2" s="143"/>
      <c r="C2" s="144"/>
      <c r="E2" s="145"/>
      <c r="F2" s="145"/>
      <c r="I2" s="1"/>
    </row>
    <row r="3" spans="2:11" x14ac:dyDescent="0.35">
      <c r="B3" s="146"/>
      <c r="C3" s="147"/>
      <c r="D3" s="3"/>
      <c r="E3" s="145"/>
      <c r="F3" s="145"/>
      <c r="H3" s="3"/>
      <c r="I3" s="1"/>
    </row>
    <row r="4" spans="2:11" x14ac:dyDescent="0.35">
      <c r="B4" s="4" t="s">
        <v>0</v>
      </c>
      <c r="C4" s="4">
        <f>F44+120000</f>
        <v>945303</v>
      </c>
      <c r="I4" s="1"/>
      <c r="K4" s="4"/>
    </row>
    <row r="5" spans="2:11" x14ac:dyDescent="0.35">
      <c r="B5" s="4" t="s">
        <v>1</v>
      </c>
      <c r="C5" s="6">
        <f>C4*19%</f>
        <v>179607.57</v>
      </c>
      <c r="E5" s="3" t="s">
        <v>2</v>
      </c>
      <c r="I5" s="1"/>
      <c r="K5" s="4"/>
    </row>
    <row r="6" spans="2:11" x14ac:dyDescent="0.35">
      <c r="B6" s="7" t="s">
        <v>3</v>
      </c>
      <c r="C6" s="8">
        <f>SUM(C4:C5)</f>
        <v>1124910.57</v>
      </c>
      <c r="I6" s="1"/>
      <c r="K6" s="4"/>
    </row>
    <row r="7" spans="2:11" x14ac:dyDescent="0.35">
      <c r="B7" s="4"/>
      <c r="C7" s="4"/>
      <c r="I7" s="1"/>
      <c r="K7" s="4"/>
    </row>
    <row r="8" spans="2:11" x14ac:dyDescent="0.35">
      <c r="B8" s="4" t="s">
        <v>4</v>
      </c>
      <c r="C8" s="4">
        <f>G44</f>
        <v>1321070</v>
      </c>
      <c r="I8" s="1"/>
      <c r="K8" s="4"/>
    </row>
    <row r="9" spans="2:11" x14ac:dyDescent="0.35">
      <c r="B9" s="4" t="s">
        <v>5</v>
      </c>
      <c r="C9" s="6">
        <f>C8*19%</f>
        <v>251003.30000000002</v>
      </c>
      <c r="E9" s="9" t="s">
        <v>6</v>
      </c>
      <c r="F9" s="10"/>
      <c r="G9" s="11"/>
      <c r="H9" s="12"/>
      <c r="I9" s="4"/>
      <c r="J9" s="4"/>
      <c r="K9" s="4"/>
    </row>
    <row r="10" spans="2:11" x14ac:dyDescent="0.35">
      <c r="B10" s="8" t="s">
        <v>7</v>
      </c>
      <c r="C10" s="8">
        <f>C8+C9</f>
        <v>1572073.3</v>
      </c>
      <c r="E10" s="12"/>
      <c r="F10" s="12"/>
      <c r="H10" s="13"/>
      <c r="I10" s="4"/>
      <c r="J10" s="4"/>
      <c r="K10" s="4"/>
    </row>
    <row r="11" spans="2:11" x14ac:dyDescent="0.35">
      <c r="B11" s="4"/>
      <c r="C11" s="4"/>
      <c r="E11" s="12"/>
      <c r="I11" s="4"/>
      <c r="J11" s="4"/>
      <c r="K11" s="4"/>
    </row>
    <row r="12" spans="2:11" x14ac:dyDescent="0.35">
      <c r="B12" s="7" t="s">
        <v>8</v>
      </c>
      <c r="C12" s="4">
        <f>C9-C5</f>
        <v>71395.73000000001</v>
      </c>
      <c r="E12" s="13" t="s">
        <v>9</v>
      </c>
      <c r="F12" s="8" t="s">
        <v>10</v>
      </c>
      <c r="G12" s="14" t="s">
        <v>11</v>
      </c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I13" s="4"/>
      <c r="J13" s="4"/>
      <c r="K13" s="4"/>
    </row>
    <row r="14" spans="2:11" x14ac:dyDescent="0.35">
      <c r="B14" s="4" t="s">
        <v>13</v>
      </c>
      <c r="C14" s="4">
        <f>C8-C4</f>
        <v>375767</v>
      </c>
      <c r="F14" s="4"/>
      <c r="I14" s="4"/>
      <c r="J14" s="4"/>
      <c r="K14" s="4"/>
    </row>
    <row r="15" spans="2:11" x14ac:dyDescent="0.35">
      <c r="B15" s="4" t="s">
        <v>14</v>
      </c>
      <c r="C15" s="4"/>
      <c r="F15" s="4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F16" s="4"/>
      <c r="I16" s="4"/>
      <c r="J16" s="4"/>
      <c r="K16" s="4"/>
    </row>
    <row r="17" spans="2:14" x14ac:dyDescent="0.35">
      <c r="B17" s="4" t="s">
        <v>16</v>
      </c>
      <c r="C17" s="4">
        <f>C10-C6-C12-C15-C16</f>
        <v>375767</v>
      </c>
      <c r="F17" s="4"/>
      <c r="I17" s="4"/>
      <c r="J17" s="4"/>
      <c r="K17" s="4"/>
    </row>
    <row r="18" spans="2:14" x14ac:dyDescent="0.35">
      <c r="B18" s="4"/>
      <c r="C18" s="4"/>
      <c r="F18" s="4"/>
      <c r="I18" s="4"/>
      <c r="J18" s="4"/>
      <c r="K18" s="4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I19" s="4"/>
      <c r="J19" s="4"/>
      <c r="K19" s="4"/>
    </row>
    <row r="20" spans="2:14" x14ac:dyDescent="0.35">
      <c r="B20" s="4"/>
      <c r="C20" s="4"/>
      <c r="D20" s="18"/>
      <c r="E20" s="18"/>
      <c r="F20" s="18"/>
      <c r="I20" s="4"/>
      <c r="J20" s="4"/>
    </row>
    <row r="21" spans="2:14" x14ac:dyDescent="0.35">
      <c r="B21" s="19" t="s">
        <v>18</v>
      </c>
      <c r="C21" s="20">
        <f>C17-C19-C18-C20</f>
        <v>375767</v>
      </c>
      <c r="I21" s="4"/>
      <c r="J21" s="4"/>
    </row>
    <row r="22" spans="2:14" x14ac:dyDescent="0.35">
      <c r="B22" s="4"/>
      <c r="C22" s="4"/>
      <c r="I22" s="4"/>
      <c r="J22" s="4"/>
      <c r="K22" s="4"/>
      <c r="L22" s="4"/>
      <c r="M22" s="4"/>
      <c r="N22" s="4"/>
    </row>
    <row r="23" spans="2:14" x14ac:dyDescent="0.35">
      <c r="B23" s="19" t="s">
        <v>19</v>
      </c>
      <c r="C23" s="21">
        <f>C14*12.5%</f>
        <v>46970.875</v>
      </c>
      <c r="E23" s="136" t="s">
        <v>20</v>
      </c>
      <c r="F23" s="136" t="s">
        <v>21</v>
      </c>
      <c r="G23" s="11" t="s">
        <v>22</v>
      </c>
      <c r="I23" s="1"/>
      <c r="M23" s="4"/>
      <c r="N23" s="4"/>
    </row>
    <row r="24" spans="2:14" x14ac:dyDescent="0.35">
      <c r="B24" s="52"/>
      <c r="C24" s="16"/>
      <c r="I24" s="1"/>
      <c r="K24" s="53"/>
      <c r="L24" s="53"/>
      <c r="M24" s="4"/>
      <c r="N24" s="4"/>
    </row>
    <row r="25" spans="2:14" x14ac:dyDescent="0.35">
      <c r="B25" s="19" t="s">
        <v>23</v>
      </c>
      <c r="C25" s="21">
        <f>C21-C23</f>
        <v>328796.125</v>
      </c>
      <c r="D25" s="136" t="s">
        <v>24</v>
      </c>
      <c r="E25" s="8">
        <f>C25*100/C8</f>
        <v>24.88862248026221</v>
      </c>
      <c r="F25" s="3" t="s">
        <v>25</v>
      </c>
      <c r="I25" s="1"/>
    </row>
    <row r="26" spans="2:14" x14ac:dyDescent="0.35">
      <c r="I26" s="1"/>
    </row>
    <row r="27" spans="2:14" x14ac:dyDescent="0.35">
      <c r="B27" s="19" t="s">
        <v>26</v>
      </c>
      <c r="C27" s="21">
        <f>C25*0%</f>
        <v>0</v>
      </c>
      <c r="D27" s="33" t="s">
        <v>27</v>
      </c>
      <c r="I27" s="1"/>
    </row>
    <row r="28" spans="2:14" x14ac:dyDescent="0.35">
      <c r="I28" s="1"/>
    </row>
    <row r="29" spans="2:14" x14ac:dyDescent="0.35">
      <c r="B29" s="19" t="s">
        <v>28</v>
      </c>
      <c r="C29" s="20">
        <f>C25-C27</f>
        <v>328796.125</v>
      </c>
      <c r="I29" s="1"/>
    </row>
    <row r="30" spans="2:14" x14ac:dyDescent="0.35">
      <c r="B30" s="52"/>
      <c r="C30" s="13"/>
      <c r="I30" s="1"/>
    </row>
    <row r="31" spans="2:14" x14ac:dyDescent="0.35">
      <c r="B31" s="19" t="s">
        <v>29</v>
      </c>
      <c r="C31" s="20">
        <v>0</v>
      </c>
      <c r="I31" s="1"/>
    </row>
    <row r="32" spans="2:14" x14ac:dyDescent="0.35">
      <c r="B32" s="52"/>
      <c r="C32" s="16"/>
      <c r="I32" s="1"/>
    </row>
    <row r="33" spans="2:9" x14ac:dyDescent="0.35">
      <c r="B33" s="19" t="s">
        <v>30</v>
      </c>
      <c r="C33" s="20">
        <f>C29*0/100</f>
        <v>0</v>
      </c>
      <c r="I33" s="1"/>
    </row>
    <row r="34" spans="2:9" x14ac:dyDescent="0.35">
      <c r="B34" s="23"/>
      <c r="C34" s="13"/>
      <c r="I34" s="1"/>
    </row>
    <row r="35" spans="2:9" x14ac:dyDescent="0.35">
      <c r="B35" s="19" t="s">
        <v>31</v>
      </c>
      <c r="C35" s="20">
        <f>C29-C31-C33</f>
        <v>328796.125</v>
      </c>
      <c r="D35" s="33" t="s">
        <v>27</v>
      </c>
      <c r="E35" s="16"/>
      <c r="F35" s="16"/>
      <c r="H35" s="12"/>
      <c r="I35" s="1"/>
    </row>
    <row r="36" spans="2:9" x14ac:dyDescent="0.35">
      <c r="B36" s="23"/>
      <c r="C36" s="13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64" t="s">
        <v>34</v>
      </c>
      <c r="D38" s="64" t="s">
        <v>35</v>
      </c>
      <c r="E38" s="138" t="s">
        <v>36</v>
      </c>
      <c r="F38" s="138" t="s">
        <v>37</v>
      </c>
      <c r="G38" s="138" t="s">
        <v>38</v>
      </c>
      <c r="H38" s="138" t="s">
        <v>39</v>
      </c>
      <c r="I38" s="1"/>
    </row>
    <row r="39" spans="2:9" ht="16" customHeight="1" x14ac:dyDescent="0.35">
      <c r="B39" s="94" t="s">
        <v>137</v>
      </c>
      <c r="C39" s="95">
        <v>19</v>
      </c>
      <c r="D39" s="54">
        <v>43437</v>
      </c>
      <c r="E39" s="77">
        <v>69530</v>
      </c>
      <c r="F39" s="29">
        <f t="shared" ref="F39:F43" si="0">D39*C39</f>
        <v>825303</v>
      </c>
      <c r="G39" s="29">
        <f t="shared" ref="G39:G43" si="1">E39*C39</f>
        <v>1321070</v>
      </c>
      <c r="H39" s="29">
        <f t="shared" ref="H39:H43" si="2">G39-F39</f>
        <v>495767</v>
      </c>
      <c r="I39" s="59"/>
    </row>
    <row r="40" spans="2:9" ht="16" customHeight="1" x14ac:dyDescent="0.35">
      <c r="B40" s="89"/>
      <c r="C40" s="91"/>
      <c r="D40" s="92"/>
      <c r="E40" s="93">
        <v>0</v>
      </c>
      <c r="F40" s="55">
        <f t="shared" si="0"/>
        <v>0</v>
      </c>
      <c r="G40" s="55">
        <f t="shared" si="1"/>
        <v>0</v>
      </c>
      <c r="H40" s="55">
        <f t="shared" si="2"/>
        <v>0</v>
      </c>
      <c r="I40" s="59"/>
    </row>
    <row r="41" spans="2:9" ht="16" customHeight="1" x14ac:dyDescent="0.35">
      <c r="B41" s="66"/>
      <c r="C41" s="60"/>
      <c r="D41" s="54"/>
      <c r="E41" s="77">
        <f t="shared" ref="E41:E42" si="3">D41/(1-30%)</f>
        <v>0</v>
      </c>
      <c r="F41" s="55">
        <f t="shared" si="0"/>
        <v>0</v>
      </c>
      <c r="G41" s="55">
        <f t="shared" si="1"/>
        <v>0</v>
      </c>
      <c r="H41" s="55">
        <f t="shared" si="2"/>
        <v>0</v>
      </c>
      <c r="I41" s="59"/>
    </row>
    <row r="42" spans="2:9" x14ac:dyDescent="0.35">
      <c r="B42" s="58"/>
      <c r="C42" s="61"/>
      <c r="D42" s="54"/>
      <c r="E42" s="77">
        <f t="shared" si="3"/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1"/>
    </row>
    <row r="43" spans="2:9" x14ac:dyDescent="0.35">
      <c r="B43" s="58"/>
      <c r="C43" s="61"/>
      <c r="D43" s="54"/>
      <c r="E43" s="77">
        <f t="shared" ref="E43" si="4">D43/(1-24%)</f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D44" s="30"/>
      <c r="E44" s="3" t="s">
        <v>41</v>
      </c>
      <c r="F44" s="31">
        <f>SUM(F39:F43)</f>
        <v>825303</v>
      </c>
      <c r="G44" s="31">
        <f>SUM(G39:G43)</f>
        <v>1321070</v>
      </c>
      <c r="H44" s="31">
        <f>SUM(H39:H43)</f>
        <v>495767</v>
      </c>
      <c r="I44" s="1"/>
    </row>
    <row r="45" spans="2:9" x14ac:dyDescent="0.35">
      <c r="B45" s="12" t="s">
        <v>12</v>
      </c>
      <c r="I45" s="1"/>
    </row>
    <row r="46" spans="2:9" x14ac:dyDescent="0.35">
      <c r="C46" s="65"/>
      <c r="I46" s="1"/>
    </row>
    <row r="47" spans="2:9" x14ac:dyDescent="0.35">
      <c r="C47" s="65"/>
      <c r="I47" s="1"/>
    </row>
    <row r="48" spans="2:9" x14ac:dyDescent="0.35">
      <c r="D48" s="65"/>
      <c r="I48" s="1"/>
    </row>
    <row r="49" spans="9:9" x14ac:dyDescent="0.35">
      <c r="I49" s="1"/>
    </row>
  </sheetData>
  <mergeCells count="5">
    <mergeCell ref="B2:C2"/>
    <mergeCell ref="E2:F2"/>
    <mergeCell ref="B3:C3"/>
    <mergeCell ref="E3:F3"/>
    <mergeCell ref="B37:H3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6CFAB-53BE-46C4-BE4F-678DBCA411FE}">
  <sheetPr codeName="Hoja25"/>
  <dimension ref="B1:N49"/>
  <sheetViews>
    <sheetView topLeftCell="A30" zoomScale="85" zoomScaleNormal="85" workbookViewId="0">
      <selection activeCell="B40" sqref="B40"/>
    </sheetView>
  </sheetViews>
  <sheetFormatPr baseColWidth="10" defaultColWidth="12.453125" defaultRowHeight="14.5" x14ac:dyDescent="0.35"/>
  <cols>
    <col min="1" max="1" width="4.81640625" style="1" customWidth="1"/>
    <col min="2" max="2" width="104.54296875" style="1" bestFit="1" customWidth="1"/>
    <col min="3" max="3" width="24.54296875" style="1" bestFit="1" customWidth="1"/>
    <col min="4" max="4" width="13.54296875" style="1" customWidth="1"/>
    <col min="5" max="6" width="17.81640625" style="1" customWidth="1"/>
    <col min="7" max="7" width="19.453125" style="2" customWidth="1"/>
    <col min="8" max="8" width="19.453125" style="1" customWidth="1"/>
    <col min="9" max="9" width="75.54296875" style="76" bestFit="1" customWidth="1"/>
    <col min="10" max="10" width="9.1796875" style="1" bestFit="1" customWidth="1"/>
    <col min="11" max="11" width="13" style="1" bestFit="1" customWidth="1"/>
    <col min="12" max="16384" width="12.453125" style="1"/>
  </cols>
  <sheetData>
    <row r="1" spans="2:11" x14ac:dyDescent="0.35">
      <c r="I1" s="1"/>
    </row>
    <row r="2" spans="2:11" ht="15" customHeight="1" x14ac:dyDescent="0.35">
      <c r="B2" s="143" t="s">
        <v>140</v>
      </c>
      <c r="C2" s="144"/>
      <c r="E2" s="145"/>
      <c r="F2" s="145"/>
      <c r="I2" s="1"/>
    </row>
    <row r="3" spans="2:11" x14ac:dyDescent="0.35">
      <c r="B3" s="146" t="s">
        <v>141</v>
      </c>
      <c r="C3" s="147"/>
      <c r="D3" s="3"/>
      <c r="E3" s="145"/>
      <c r="F3" s="145"/>
      <c r="H3" s="3"/>
      <c r="I3" s="1"/>
    </row>
    <row r="4" spans="2:11" x14ac:dyDescent="0.35">
      <c r="B4" s="4" t="s">
        <v>0</v>
      </c>
      <c r="C4" s="4">
        <f>F44</f>
        <v>937500</v>
      </c>
      <c r="I4" s="1"/>
      <c r="K4" s="4"/>
    </row>
    <row r="5" spans="2:11" x14ac:dyDescent="0.35">
      <c r="B5" s="4" t="s">
        <v>1</v>
      </c>
      <c r="C5" s="6">
        <f>C4*19%</f>
        <v>178125</v>
      </c>
      <c r="E5" s="3" t="s">
        <v>2</v>
      </c>
      <c r="I5" s="1"/>
      <c r="K5" s="4"/>
    </row>
    <row r="6" spans="2:11" x14ac:dyDescent="0.35">
      <c r="B6" s="7" t="s">
        <v>3</v>
      </c>
      <c r="C6" s="8">
        <f>SUM(C4:C5)</f>
        <v>1115625</v>
      </c>
      <c r="I6" s="1"/>
      <c r="K6" s="4"/>
    </row>
    <row r="7" spans="2:11" x14ac:dyDescent="0.35">
      <c r="B7" s="4"/>
      <c r="C7" s="4"/>
      <c r="I7" s="1"/>
      <c r="K7" s="4"/>
    </row>
    <row r="8" spans="2:11" x14ac:dyDescent="0.35">
      <c r="B8" s="4" t="s">
        <v>4</v>
      </c>
      <c r="C8" s="4">
        <f>G44</f>
        <v>1438727.8657968312</v>
      </c>
      <c r="I8" s="1"/>
      <c r="K8" s="4"/>
    </row>
    <row r="9" spans="2:11" x14ac:dyDescent="0.35">
      <c r="B9" s="4" t="s">
        <v>5</v>
      </c>
      <c r="C9" s="6">
        <f>C8*19%</f>
        <v>273358.29450139793</v>
      </c>
      <c r="E9" s="9" t="s">
        <v>6</v>
      </c>
      <c r="F9" s="10"/>
      <c r="G9" s="11"/>
      <c r="H9" s="12"/>
      <c r="I9" s="4"/>
      <c r="J9" s="4"/>
      <c r="K9" s="4"/>
    </row>
    <row r="10" spans="2:11" x14ac:dyDescent="0.35">
      <c r="B10" s="8" t="s">
        <v>7</v>
      </c>
      <c r="C10" s="8">
        <f>C8+C9</f>
        <v>1712086.1602982292</v>
      </c>
      <c r="E10" s="12"/>
      <c r="F10" s="12"/>
      <c r="H10" s="13"/>
      <c r="I10" s="4"/>
      <c r="J10" s="4"/>
      <c r="K10" s="4"/>
    </row>
    <row r="11" spans="2:11" x14ac:dyDescent="0.35">
      <c r="B11" s="4"/>
      <c r="C11" s="4"/>
      <c r="E11" s="12"/>
      <c r="I11" s="4"/>
      <c r="J11" s="4"/>
      <c r="K11" s="4"/>
    </row>
    <row r="12" spans="2:11" x14ac:dyDescent="0.35">
      <c r="B12" s="7" t="s">
        <v>8</v>
      </c>
      <c r="C12" s="4">
        <f>C9-C5</f>
        <v>95233.294501397933</v>
      </c>
      <c r="E12" s="13" t="s">
        <v>9</v>
      </c>
      <c r="F12" s="8" t="s">
        <v>10</v>
      </c>
      <c r="G12" s="14" t="s">
        <v>11</v>
      </c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I13" s="4"/>
      <c r="J13" s="4"/>
      <c r="K13" s="4"/>
    </row>
    <row r="14" spans="2:11" x14ac:dyDescent="0.35">
      <c r="B14" s="4" t="s">
        <v>13</v>
      </c>
      <c r="C14" s="4">
        <f>C8-C4</f>
        <v>501227.8657968312</v>
      </c>
      <c r="F14" s="4"/>
      <c r="I14" s="4"/>
      <c r="J14" s="4"/>
      <c r="K14" s="4"/>
    </row>
    <row r="15" spans="2:11" x14ac:dyDescent="0.35">
      <c r="B15" s="4" t="s">
        <v>14</v>
      </c>
      <c r="C15" s="4"/>
      <c r="F15" s="4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F16" s="4"/>
      <c r="I16" s="4"/>
      <c r="J16" s="4"/>
      <c r="K16" s="4"/>
    </row>
    <row r="17" spans="2:14" x14ac:dyDescent="0.35">
      <c r="B17" s="4" t="s">
        <v>16</v>
      </c>
      <c r="C17" s="4">
        <f>C10-C6-C12-C15-C16</f>
        <v>501227.86579683126</v>
      </c>
      <c r="F17" s="4"/>
      <c r="I17" s="4"/>
      <c r="J17" s="4"/>
      <c r="K17" s="4"/>
    </row>
    <row r="18" spans="2:14" x14ac:dyDescent="0.35">
      <c r="B18" s="4"/>
      <c r="C18" s="4"/>
      <c r="F18" s="4"/>
      <c r="I18" s="4"/>
      <c r="J18" s="4"/>
      <c r="K18" s="4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I19" s="4"/>
      <c r="J19" s="4"/>
      <c r="K19" s="4"/>
    </row>
    <row r="20" spans="2:14" x14ac:dyDescent="0.35">
      <c r="B20" s="4"/>
      <c r="C20" s="4"/>
      <c r="D20" s="18"/>
      <c r="E20" s="18"/>
      <c r="F20" s="18"/>
      <c r="I20" s="4"/>
      <c r="J20" s="4"/>
    </row>
    <row r="21" spans="2:14" x14ac:dyDescent="0.35">
      <c r="B21" s="19" t="s">
        <v>18</v>
      </c>
      <c r="C21" s="20">
        <f>C17-C19-C18-C20</f>
        <v>501227.86579683126</v>
      </c>
      <c r="I21" s="4"/>
      <c r="J21" s="4"/>
    </row>
    <row r="22" spans="2:14" x14ac:dyDescent="0.35">
      <c r="B22" s="4"/>
      <c r="C22" s="4"/>
      <c r="I22" s="4"/>
      <c r="J22" s="4"/>
      <c r="K22" s="4"/>
      <c r="L22" s="4"/>
      <c r="M22" s="4"/>
      <c r="N22" s="4"/>
    </row>
    <row r="23" spans="2:14" x14ac:dyDescent="0.35">
      <c r="B23" s="19" t="s">
        <v>19</v>
      </c>
      <c r="C23" s="21">
        <f>C14*12.5%</f>
        <v>62653.4832246039</v>
      </c>
      <c r="E23" s="136" t="s">
        <v>20</v>
      </c>
      <c r="F23" s="136" t="s">
        <v>21</v>
      </c>
      <c r="G23" s="11" t="s">
        <v>22</v>
      </c>
      <c r="I23" s="1"/>
      <c r="M23" s="4"/>
      <c r="N23" s="4"/>
    </row>
    <row r="24" spans="2:14" x14ac:dyDescent="0.35">
      <c r="B24" s="52"/>
      <c r="C24" s="16"/>
      <c r="I24" s="1"/>
      <c r="K24" s="53"/>
      <c r="L24" s="53"/>
      <c r="M24" s="4"/>
      <c r="N24" s="4"/>
    </row>
    <row r="25" spans="2:14" x14ac:dyDescent="0.35">
      <c r="B25" s="19" t="s">
        <v>23</v>
      </c>
      <c r="C25" s="21">
        <f>C21-C23</f>
        <v>438574.38257222739</v>
      </c>
      <c r="D25" s="136" t="s">
        <v>24</v>
      </c>
      <c r="E25" s="8">
        <f>C25*100/C8</f>
        <v>30.483484264018582</v>
      </c>
      <c r="F25" s="3" t="s">
        <v>25</v>
      </c>
      <c r="I25" s="1"/>
    </row>
    <row r="26" spans="2:14" x14ac:dyDescent="0.35">
      <c r="I26" s="1"/>
    </row>
    <row r="27" spans="2:14" x14ac:dyDescent="0.35">
      <c r="B27" s="19" t="s">
        <v>26</v>
      </c>
      <c r="C27" s="21">
        <f>C25*0%</f>
        <v>0</v>
      </c>
      <c r="D27" s="33" t="s">
        <v>27</v>
      </c>
      <c r="I27" s="1"/>
    </row>
    <row r="28" spans="2:14" x14ac:dyDescent="0.35">
      <c r="I28" s="1"/>
    </row>
    <row r="29" spans="2:14" x14ac:dyDescent="0.35">
      <c r="B29" s="19" t="s">
        <v>28</v>
      </c>
      <c r="C29" s="20">
        <f>C25-C27</f>
        <v>438574.38257222739</v>
      </c>
      <c r="I29" s="1"/>
    </row>
    <row r="30" spans="2:14" x14ac:dyDescent="0.35">
      <c r="B30" s="52"/>
      <c r="C30" s="13"/>
      <c r="I30" s="1"/>
    </row>
    <row r="31" spans="2:14" x14ac:dyDescent="0.35">
      <c r="B31" s="19" t="s">
        <v>29</v>
      </c>
      <c r="C31" s="20">
        <v>0</v>
      </c>
      <c r="I31" s="1"/>
    </row>
    <row r="32" spans="2:14" x14ac:dyDescent="0.35">
      <c r="B32" s="52"/>
      <c r="C32" s="16"/>
      <c r="I32" s="1"/>
    </row>
    <row r="33" spans="2:9" x14ac:dyDescent="0.35">
      <c r="B33" s="19" t="s">
        <v>30</v>
      </c>
      <c r="C33" s="20">
        <f>C29*0/100</f>
        <v>0</v>
      </c>
      <c r="I33" s="1"/>
    </row>
    <row r="34" spans="2:9" x14ac:dyDescent="0.35">
      <c r="B34" s="23"/>
      <c r="C34" s="13"/>
      <c r="I34" s="1"/>
    </row>
    <row r="35" spans="2:9" x14ac:dyDescent="0.35">
      <c r="B35" s="19" t="s">
        <v>31</v>
      </c>
      <c r="C35" s="20">
        <f>C29-C31-C33</f>
        <v>438574.38257222739</v>
      </c>
      <c r="D35" s="33" t="s">
        <v>27</v>
      </c>
      <c r="E35" s="16"/>
      <c r="F35" s="16"/>
      <c r="H35" s="12"/>
      <c r="I35" s="1"/>
    </row>
    <row r="36" spans="2:9" x14ac:dyDescent="0.35">
      <c r="B36" s="23"/>
      <c r="C36" s="13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1"/>
    </row>
    <row r="39" spans="2:9" ht="16" customHeight="1" x14ac:dyDescent="0.35">
      <c r="B39" s="75" t="s">
        <v>142</v>
      </c>
      <c r="C39" s="63">
        <v>75</v>
      </c>
      <c r="D39" s="54">
        <v>8500</v>
      </c>
      <c r="E39" s="77">
        <f>D39/(1-26%)</f>
        <v>11486.486486486487</v>
      </c>
      <c r="F39" s="55">
        <f t="shared" ref="F39:F43" si="0">D39*C39</f>
        <v>637500</v>
      </c>
      <c r="G39" s="55">
        <f t="shared" ref="G39:G43" si="1">E39*C39</f>
        <v>861486.48648648651</v>
      </c>
      <c r="H39" s="55">
        <f t="shared" ref="H39:H43" si="2">G39-F39</f>
        <v>223986.48648648651</v>
      </c>
      <c r="I39" s="59" t="s">
        <v>143</v>
      </c>
    </row>
    <row r="40" spans="2:9" ht="16" customHeight="1" x14ac:dyDescent="0.35">
      <c r="B40" s="75" t="s">
        <v>144</v>
      </c>
      <c r="C40" s="63">
        <v>75</v>
      </c>
      <c r="D40" s="54">
        <v>4000</v>
      </c>
      <c r="E40" s="77">
        <f>D40/(1-42%)</f>
        <v>6896.5517241379303</v>
      </c>
      <c r="F40" s="55">
        <f t="shared" si="0"/>
        <v>300000</v>
      </c>
      <c r="G40" s="55">
        <f t="shared" si="1"/>
        <v>517241.37931034475</v>
      </c>
      <c r="H40" s="55">
        <f t="shared" si="2"/>
        <v>217241.37931034475</v>
      </c>
      <c r="I40" s="59"/>
    </row>
    <row r="41" spans="2:9" ht="16" customHeight="1" x14ac:dyDescent="0.35">
      <c r="B41" s="66" t="s">
        <v>145</v>
      </c>
      <c r="C41" s="60">
        <v>1</v>
      </c>
      <c r="D41" s="54"/>
      <c r="E41" s="77">
        <v>60000</v>
      </c>
      <c r="F41" s="55">
        <f t="shared" si="0"/>
        <v>0</v>
      </c>
      <c r="G41" s="55">
        <f t="shared" si="1"/>
        <v>60000</v>
      </c>
      <c r="H41" s="55">
        <f t="shared" si="2"/>
        <v>60000</v>
      </c>
      <c r="I41" s="59"/>
    </row>
    <row r="42" spans="2:9" x14ac:dyDescent="0.35">
      <c r="B42" s="58"/>
      <c r="C42" s="61"/>
      <c r="D42" s="54"/>
      <c r="E42" s="77">
        <f t="shared" ref="E42" si="3">D42/(1-30%)</f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1"/>
    </row>
    <row r="43" spans="2:9" x14ac:dyDescent="0.35">
      <c r="B43" s="58"/>
      <c r="C43" s="61"/>
      <c r="D43" s="54"/>
      <c r="E43" s="77">
        <f t="shared" ref="E43" si="4">D43/(1-24%)</f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D44" s="30"/>
      <c r="E44" s="3" t="s">
        <v>41</v>
      </c>
      <c r="F44" s="31">
        <f>SUM(F39:F43)</f>
        <v>937500</v>
      </c>
      <c r="G44" s="31">
        <f>SUM(G39:G43)</f>
        <v>1438727.8657968312</v>
      </c>
      <c r="H44" s="31">
        <f>SUM(H39:H43)</f>
        <v>501227.86579683126</v>
      </c>
      <c r="I44" s="1"/>
    </row>
    <row r="45" spans="2:9" x14ac:dyDescent="0.35">
      <c r="B45" s="12" t="s">
        <v>12</v>
      </c>
      <c r="I45" s="1"/>
    </row>
    <row r="46" spans="2:9" x14ac:dyDescent="0.35">
      <c r="C46" s="65"/>
      <c r="I46" s="1"/>
    </row>
    <row r="47" spans="2:9" x14ac:dyDescent="0.35">
      <c r="C47" s="65"/>
      <c r="I47" s="1"/>
    </row>
    <row r="48" spans="2:9" x14ac:dyDescent="0.35">
      <c r="D48" s="65"/>
      <c r="I48" s="1"/>
    </row>
    <row r="49" spans="9:9" x14ac:dyDescent="0.35">
      <c r="I49" s="1"/>
    </row>
  </sheetData>
  <mergeCells count="5">
    <mergeCell ref="B2:C2"/>
    <mergeCell ref="E2:F2"/>
    <mergeCell ref="B3:C3"/>
    <mergeCell ref="E3:F3"/>
    <mergeCell ref="B37:H37"/>
  </mergeCells>
  <hyperlinks>
    <hyperlink ref="I39" r:id="rId1" xr:uid="{30FC32E9-A8F8-4A56-9BD5-CF74F4F37FC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CB7A-1C32-4C49-B0E2-727DEB60124D}">
  <sheetPr codeName="Hoja26"/>
  <dimension ref="B1:N49"/>
  <sheetViews>
    <sheetView topLeftCell="A31" zoomScale="85" zoomScaleNormal="85" workbookViewId="0">
      <selection activeCell="B42" sqref="B42"/>
    </sheetView>
  </sheetViews>
  <sheetFormatPr baseColWidth="10" defaultColWidth="12.453125" defaultRowHeight="14.5" x14ac:dyDescent="0.35"/>
  <cols>
    <col min="1" max="1" width="4.81640625" style="1" customWidth="1"/>
    <col min="2" max="2" width="104.54296875" style="1" bestFit="1" customWidth="1"/>
    <col min="3" max="3" width="24.54296875" style="1" bestFit="1" customWidth="1"/>
    <col min="4" max="4" width="13.54296875" style="1" customWidth="1"/>
    <col min="5" max="6" width="17.81640625" style="1" customWidth="1"/>
    <col min="7" max="7" width="19.453125" style="2" customWidth="1"/>
    <col min="8" max="8" width="19.453125" style="1" customWidth="1"/>
    <col min="9" max="9" width="75.54296875" style="76" bestFit="1" customWidth="1"/>
    <col min="10" max="10" width="9.1796875" style="1" bestFit="1" customWidth="1"/>
    <col min="11" max="11" width="13" style="1" bestFit="1" customWidth="1"/>
    <col min="12" max="16384" width="12.453125" style="1"/>
  </cols>
  <sheetData>
    <row r="1" spans="2:11" x14ac:dyDescent="0.35">
      <c r="I1" s="1"/>
    </row>
    <row r="2" spans="2:11" ht="15" customHeight="1" x14ac:dyDescent="0.35">
      <c r="B2" s="143" t="s">
        <v>146</v>
      </c>
      <c r="C2" s="144"/>
      <c r="E2" s="145"/>
      <c r="F2" s="145"/>
      <c r="I2" s="1"/>
    </row>
    <row r="3" spans="2:11" x14ac:dyDescent="0.35">
      <c r="B3" s="146"/>
      <c r="C3" s="147"/>
      <c r="D3" s="3"/>
      <c r="E3" s="145"/>
      <c r="F3" s="145"/>
      <c r="H3" s="3"/>
      <c r="I3" s="1"/>
    </row>
    <row r="4" spans="2:11" x14ac:dyDescent="0.35">
      <c r="B4" s="4" t="s">
        <v>0</v>
      </c>
      <c r="C4" s="4">
        <f>F44</f>
        <v>114000</v>
      </c>
      <c r="I4" s="1"/>
      <c r="K4" s="4"/>
    </row>
    <row r="5" spans="2:11" x14ac:dyDescent="0.35">
      <c r="B5" s="4" t="s">
        <v>1</v>
      </c>
      <c r="C5" s="6">
        <f>C4*19%</f>
        <v>21660</v>
      </c>
      <c r="E5" s="3" t="s">
        <v>2</v>
      </c>
      <c r="I5" s="1"/>
      <c r="K5" s="4"/>
    </row>
    <row r="6" spans="2:11" x14ac:dyDescent="0.35">
      <c r="B6" s="7" t="s">
        <v>3</v>
      </c>
      <c r="C6" s="8">
        <f>SUM(C4:C5)</f>
        <v>135660</v>
      </c>
      <c r="I6" s="1"/>
      <c r="K6" s="4"/>
    </row>
    <row r="7" spans="2:11" x14ac:dyDescent="0.35">
      <c r="B7" s="4"/>
      <c r="C7" s="4"/>
      <c r="I7" s="1"/>
      <c r="K7" s="4"/>
    </row>
    <row r="8" spans="2:11" x14ac:dyDescent="0.35">
      <c r="B8" s="4" t="s">
        <v>4</v>
      </c>
      <c r="C8" s="4">
        <f>G44</f>
        <v>152500</v>
      </c>
      <c r="I8" s="1"/>
      <c r="K8" s="4"/>
    </row>
    <row r="9" spans="2:11" x14ac:dyDescent="0.35">
      <c r="B9" s="4" t="s">
        <v>5</v>
      </c>
      <c r="C9" s="6">
        <f>C8*19%</f>
        <v>28975</v>
      </c>
      <c r="E9" s="9" t="s">
        <v>6</v>
      </c>
      <c r="F9" s="10"/>
      <c r="G9" s="11"/>
      <c r="H9" s="12"/>
      <c r="I9" s="4"/>
      <c r="J9" s="4"/>
      <c r="K9" s="4"/>
    </row>
    <row r="10" spans="2:11" x14ac:dyDescent="0.35">
      <c r="B10" s="8" t="s">
        <v>7</v>
      </c>
      <c r="C10" s="8">
        <f>C8+C9</f>
        <v>181475</v>
      </c>
      <c r="E10" s="12"/>
      <c r="F10" s="12"/>
      <c r="H10" s="13"/>
      <c r="I10" s="4"/>
      <c r="J10" s="4"/>
      <c r="K10" s="4"/>
    </row>
    <row r="11" spans="2:11" x14ac:dyDescent="0.35">
      <c r="B11" s="4"/>
      <c r="C11" s="4"/>
      <c r="E11" s="12"/>
      <c r="I11" s="4"/>
      <c r="J11" s="4"/>
      <c r="K11" s="4"/>
    </row>
    <row r="12" spans="2:11" x14ac:dyDescent="0.35">
      <c r="B12" s="7" t="s">
        <v>8</v>
      </c>
      <c r="C12" s="4">
        <f>C9-C5</f>
        <v>7315</v>
      </c>
      <c r="E12" s="13" t="s">
        <v>9</v>
      </c>
      <c r="F12" s="8" t="s">
        <v>10</v>
      </c>
      <c r="G12" s="14" t="s">
        <v>11</v>
      </c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I13" s="4"/>
      <c r="J13" s="4"/>
      <c r="K13" s="4"/>
    </row>
    <row r="14" spans="2:11" x14ac:dyDescent="0.35">
      <c r="B14" s="4" t="s">
        <v>13</v>
      </c>
      <c r="C14" s="4">
        <f>C8-C4</f>
        <v>38500</v>
      </c>
      <c r="F14" s="4"/>
      <c r="I14" s="4"/>
      <c r="J14" s="4"/>
      <c r="K14" s="4"/>
    </row>
    <row r="15" spans="2:11" x14ac:dyDescent="0.35">
      <c r="B15" s="4" t="s">
        <v>14</v>
      </c>
      <c r="C15" s="4"/>
      <c r="F15" s="4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F16" s="4"/>
      <c r="I16" s="4"/>
      <c r="J16" s="4"/>
      <c r="K16" s="4"/>
    </row>
    <row r="17" spans="2:14" x14ac:dyDescent="0.35">
      <c r="B17" s="4" t="s">
        <v>16</v>
      </c>
      <c r="C17" s="4">
        <f>C10-C6-C12-C15-C16</f>
        <v>38500</v>
      </c>
      <c r="F17" s="4"/>
      <c r="I17" s="4"/>
      <c r="J17" s="4"/>
      <c r="K17" s="4"/>
    </row>
    <row r="18" spans="2:14" x14ac:dyDescent="0.35">
      <c r="B18" s="4"/>
      <c r="C18" s="4"/>
      <c r="F18" s="4"/>
      <c r="I18" s="4"/>
      <c r="J18" s="4"/>
      <c r="K18" s="4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I19" s="4"/>
      <c r="J19" s="4"/>
      <c r="K19" s="4"/>
    </row>
    <row r="20" spans="2:14" x14ac:dyDescent="0.35">
      <c r="B20" s="4"/>
      <c r="C20" s="4"/>
      <c r="D20" s="18"/>
      <c r="E20" s="18"/>
      <c r="F20" s="18"/>
      <c r="I20" s="4"/>
      <c r="J20" s="4"/>
    </row>
    <row r="21" spans="2:14" x14ac:dyDescent="0.35">
      <c r="B21" s="19" t="s">
        <v>18</v>
      </c>
      <c r="C21" s="20">
        <f>C17-C19-C18-C20</f>
        <v>38500</v>
      </c>
      <c r="I21" s="4"/>
      <c r="J21" s="4"/>
    </row>
    <row r="22" spans="2:14" x14ac:dyDescent="0.35">
      <c r="B22" s="4"/>
      <c r="C22" s="4"/>
      <c r="I22" s="4"/>
      <c r="J22" s="4"/>
      <c r="K22" s="4"/>
      <c r="L22" s="4"/>
      <c r="M22" s="4"/>
      <c r="N22" s="4"/>
    </row>
    <row r="23" spans="2:14" x14ac:dyDescent="0.35">
      <c r="B23" s="19" t="s">
        <v>19</v>
      </c>
      <c r="C23" s="21">
        <f>C14*12.5%</f>
        <v>4812.5</v>
      </c>
      <c r="E23" s="136" t="s">
        <v>20</v>
      </c>
      <c r="F23" s="136" t="s">
        <v>21</v>
      </c>
      <c r="G23" s="11" t="s">
        <v>22</v>
      </c>
      <c r="I23" s="1"/>
      <c r="M23" s="4"/>
      <c r="N23" s="4"/>
    </row>
    <row r="24" spans="2:14" x14ac:dyDescent="0.35">
      <c r="B24" s="52"/>
      <c r="C24" s="16"/>
      <c r="I24" s="1"/>
      <c r="K24" s="53"/>
      <c r="L24" s="53"/>
      <c r="M24" s="4"/>
      <c r="N24" s="4"/>
    </row>
    <row r="25" spans="2:14" x14ac:dyDescent="0.35">
      <c r="B25" s="19" t="s">
        <v>23</v>
      </c>
      <c r="C25" s="21">
        <f>C21-C23</f>
        <v>33687.5</v>
      </c>
      <c r="D25" s="136" t="s">
        <v>24</v>
      </c>
      <c r="E25" s="8">
        <f>C25*100/C8</f>
        <v>22.090163934426229</v>
      </c>
      <c r="F25" s="3" t="s">
        <v>25</v>
      </c>
      <c r="I25" s="1"/>
    </row>
    <row r="26" spans="2:14" x14ac:dyDescent="0.35">
      <c r="I26" s="1"/>
    </row>
    <row r="27" spans="2:14" x14ac:dyDescent="0.35">
      <c r="B27" s="19" t="s">
        <v>26</v>
      </c>
      <c r="C27" s="21">
        <f>C25*0%</f>
        <v>0</v>
      </c>
      <c r="D27" s="33" t="s">
        <v>27</v>
      </c>
      <c r="I27" s="1"/>
    </row>
    <row r="28" spans="2:14" x14ac:dyDescent="0.35">
      <c r="I28" s="1"/>
    </row>
    <row r="29" spans="2:14" x14ac:dyDescent="0.35">
      <c r="B29" s="19" t="s">
        <v>28</v>
      </c>
      <c r="C29" s="20">
        <f>C25-C27</f>
        <v>33687.5</v>
      </c>
      <c r="I29" s="1"/>
    </row>
    <row r="30" spans="2:14" x14ac:dyDescent="0.35">
      <c r="B30" s="52"/>
      <c r="C30" s="13"/>
      <c r="I30" s="1"/>
    </row>
    <row r="31" spans="2:14" x14ac:dyDescent="0.35">
      <c r="B31" s="19" t="s">
        <v>29</v>
      </c>
      <c r="C31" s="20">
        <v>0</v>
      </c>
      <c r="I31" s="1"/>
    </row>
    <row r="32" spans="2:14" x14ac:dyDescent="0.35">
      <c r="B32" s="52"/>
      <c r="C32" s="16"/>
      <c r="I32" s="1"/>
    </row>
    <row r="33" spans="2:9" x14ac:dyDescent="0.35">
      <c r="B33" s="19" t="s">
        <v>30</v>
      </c>
      <c r="C33" s="20">
        <f>C29*0/100</f>
        <v>0</v>
      </c>
      <c r="I33" s="1"/>
    </row>
    <row r="34" spans="2:9" x14ac:dyDescent="0.35">
      <c r="B34" s="23"/>
      <c r="C34" s="13"/>
      <c r="I34" s="1"/>
    </row>
    <row r="35" spans="2:9" x14ac:dyDescent="0.35">
      <c r="B35" s="19" t="s">
        <v>31</v>
      </c>
      <c r="C35" s="20">
        <f>C29-C31-C33</f>
        <v>33687.5</v>
      </c>
      <c r="D35" s="33" t="s">
        <v>27</v>
      </c>
      <c r="E35" s="16"/>
      <c r="F35" s="16"/>
      <c r="H35" s="12"/>
      <c r="I35" s="1"/>
    </row>
    <row r="36" spans="2:9" x14ac:dyDescent="0.35">
      <c r="B36" s="23"/>
      <c r="C36" s="13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1"/>
    </row>
    <row r="39" spans="2:9" ht="16" customHeight="1" x14ac:dyDescent="0.35">
      <c r="B39" s="75" t="s">
        <v>147</v>
      </c>
      <c r="C39" s="63">
        <v>1</v>
      </c>
      <c r="D39" s="54">
        <v>99000</v>
      </c>
      <c r="E39" s="77">
        <f>D39/(1-28%)</f>
        <v>137500</v>
      </c>
      <c r="F39" s="55">
        <f t="shared" ref="F39:F43" si="0">D39*C39</f>
        <v>99000</v>
      </c>
      <c r="G39" s="55">
        <f t="shared" ref="G39:G43" si="1">E39*C39</f>
        <v>137500</v>
      </c>
      <c r="H39" s="55">
        <f t="shared" ref="H39:H43" si="2">G39-F39</f>
        <v>38500</v>
      </c>
      <c r="I39" s="59" t="s">
        <v>143</v>
      </c>
    </row>
    <row r="40" spans="2:9" ht="16" customHeight="1" x14ac:dyDescent="0.35">
      <c r="B40" s="75"/>
      <c r="C40" s="63">
        <v>1</v>
      </c>
      <c r="D40" s="54">
        <v>15000</v>
      </c>
      <c r="E40" s="77">
        <v>15000</v>
      </c>
      <c r="F40" s="55">
        <f t="shared" si="0"/>
        <v>15000</v>
      </c>
      <c r="G40" s="55">
        <f t="shared" si="1"/>
        <v>15000</v>
      </c>
      <c r="H40" s="55">
        <f t="shared" si="2"/>
        <v>0</v>
      </c>
      <c r="I40" s="59"/>
    </row>
    <row r="41" spans="2:9" ht="16" customHeight="1" x14ac:dyDescent="0.35">
      <c r="B41" s="66"/>
      <c r="C41" s="60"/>
      <c r="D41" s="54"/>
      <c r="E41" s="77">
        <f t="shared" ref="E41:E42" si="3">D41/(1-24%)</f>
        <v>0</v>
      </c>
      <c r="F41" s="55">
        <f t="shared" si="0"/>
        <v>0</v>
      </c>
      <c r="G41" s="55">
        <f t="shared" si="1"/>
        <v>0</v>
      </c>
      <c r="H41" s="55">
        <f t="shared" si="2"/>
        <v>0</v>
      </c>
      <c r="I41" s="59"/>
    </row>
    <row r="42" spans="2:9" x14ac:dyDescent="0.35">
      <c r="B42" s="58"/>
      <c r="C42" s="61"/>
      <c r="D42" s="54"/>
      <c r="E42" s="77">
        <f t="shared" si="3"/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1"/>
    </row>
    <row r="43" spans="2:9" x14ac:dyDescent="0.35">
      <c r="B43" s="58"/>
      <c r="C43" s="61"/>
      <c r="D43" s="54"/>
      <c r="E43" s="77">
        <f t="shared" ref="E43" si="4">D43/(1-24%)</f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D44" s="30"/>
      <c r="E44" s="3" t="s">
        <v>41</v>
      </c>
      <c r="F44" s="31">
        <f>SUM(F39:F43)</f>
        <v>114000</v>
      </c>
      <c r="G44" s="31">
        <f>SUM(G39:G43)</f>
        <v>152500</v>
      </c>
      <c r="H44" s="31">
        <f>SUM(H39:H43)</f>
        <v>38500</v>
      </c>
      <c r="I44" s="1"/>
    </row>
    <row r="45" spans="2:9" x14ac:dyDescent="0.35">
      <c r="B45" s="12" t="s">
        <v>12</v>
      </c>
      <c r="I45" s="1"/>
    </row>
    <row r="46" spans="2:9" x14ac:dyDescent="0.35">
      <c r="C46" s="65"/>
      <c r="I46" s="1"/>
    </row>
    <row r="47" spans="2:9" x14ac:dyDescent="0.35">
      <c r="C47" s="65"/>
      <c r="I47" s="1"/>
    </row>
    <row r="48" spans="2:9" x14ac:dyDescent="0.35">
      <c r="D48" s="65"/>
      <c r="I48" s="1"/>
    </row>
    <row r="49" spans="9:9" x14ac:dyDescent="0.35">
      <c r="I49" s="1"/>
    </row>
  </sheetData>
  <mergeCells count="5">
    <mergeCell ref="B2:C2"/>
    <mergeCell ref="E2:F2"/>
    <mergeCell ref="B3:C3"/>
    <mergeCell ref="E3:F3"/>
    <mergeCell ref="B37:H37"/>
  </mergeCells>
  <hyperlinks>
    <hyperlink ref="I39" r:id="rId1" xr:uid="{45248C2C-BB03-4953-9665-B6653674FAF2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D959-55D4-4D9E-8546-96F4DDB49C86}">
  <sheetPr codeName="Hoja22"/>
  <dimension ref="B1:N49"/>
  <sheetViews>
    <sheetView topLeftCell="B1" zoomScale="85" zoomScaleNormal="85" workbookViewId="0">
      <selection activeCell="B40" sqref="B40"/>
    </sheetView>
  </sheetViews>
  <sheetFormatPr baseColWidth="10" defaultColWidth="12.453125" defaultRowHeight="14.5" x14ac:dyDescent="0.35"/>
  <cols>
    <col min="1" max="1" width="4" style="1" customWidth="1"/>
    <col min="2" max="2" width="104.54296875" style="1" bestFit="1" customWidth="1"/>
    <col min="3" max="3" width="24.54296875" style="1" bestFit="1" customWidth="1"/>
    <col min="4" max="4" width="13.54296875" style="1" customWidth="1"/>
    <col min="5" max="6" width="17.81640625" style="1" customWidth="1"/>
    <col min="7" max="7" width="19.453125" style="2" customWidth="1"/>
    <col min="8" max="8" width="19.453125" style="1" customWidth="1"/>
    <col min="9" max="9" width="75.54296875" style="76" bestFit="1" customWidth="1"/>
    <col min="10" max="10" width="9.1796875" style="1" bestFit="1" customWidth="1"/>
    <col min="11" max="11" width="13" style="1" bestFit="1" customWidth="1"/>
    <col min="12" max="16384" width="12.453125" style="1"/>
  </cols>
  <sheetData>
    <row r="1" spans="2:11" x14ac:dyDescent="0.35">
      <c r="I1" s="1"/>
    </row>
    <row r="2" spans="2:11" ht="15" customHeight="1" x14ac:dyDescent="0.35">
      <c r="B2" s="143"/>
      <c r="C2" s="144"/>
      <c r="E2" s="145"/>
      <c r="F2" s="145"/>
      <c r="I2" s="1"/>
    </row>
    <row r="3" spans="2:11" x14ac:dyDescent="0.35">
      <c r="B3" s="146"/>
      <c r="C3" s="147"/>
      <c r="D3" s="3"/>
      <c r="E3" s="145"/>
      <c r="F3" s="145"/>
      <c r="H3" s="3"/>
      <c r="I3" s="1"/>
    </row>
    <row r="4" spans="2:11" x14ac:dyDescent="0.35">
      <c r="B4" s="4" t="s">
        <v>0</v>
      </c>
      <c r="C4" s="4">
        <f>F44</f>
        <v>1770378</v>
      </c>
      <c r="I4" s="1"/>
      <c r="K4" s="4"/>
    </row>
    <row r="5" spans="2:11" x14ac:dyDescent="0.35">
      <c r="B5" s="4" t="s">
        <v>1</v>
      </c>
      <c r="C5" s="6">
        <f>C4*19%</f>
        <v>336371.82</v>
      </c>
      <c r="E5" s="3" t="s">
        <v>2</v>
      </c>
      <c r="I5" s="1"/>
      <c r="K5" s="4"/>
    </row>
    <row r="6" spans="2:11" x14ac:dyDescent="0.35">
      <c r="B6" s="7" t="s">
        <v>3</v>
      </c>
      <c r="C6" s="8">
        <f>SUM(C4:C5)</f>
        <v>2106749.8199999998</v>
      </c>
      <c r="I6" s="1"/>
      <c r="K6" s="4"/>
    </row>
    <row r="7" spans="2:11" x14ac:dyDescent="0.35">
      <c r="B7" s="4"/>
      <c r="C7" s="4"/>
      <c r="I7" s="1"/>
      <c r="K7" s="4"/>
    </row>
    <row r="8" spans="2:11" x14ac:dyDescent="0.35">
      <c r="B8" s="4" t="s">
        <v>4</v>
      </c>
      <c r="C8" s="4">
        <f>G44</f>
        <v>2380727.724358974</v>
      </c>
      <c r="I8" s="1"/>
      <c r="K8" s="4"/>
    </row>
    <row r="9" spans="2:11" x14ac:dyDescent="0.35">
      <c r="B9" s="4" t="s">
        <v>5</v>
      </c>
      <c r="C9" s="6">
        <f>C8*19%</f>
        <v>452338.26762820507</v>
      </c>
      <c r="E9" s="9" t="s">
        <v>6</v>
      </c>
      <c r="F9" s="10"/>
      <c r="G9" s="11"/>
      <c r="H9" s="12"/>
      <c r="I9" s="4"/>
      <c r="J9" s="4"/>
      <c r="K9" s="4"/>
    </row>
    <row r="10" spans="2:11" x14ac:dyDescent="0.35">
      <c r="B10" s="8" t="s">
        <v>7</v>
      </c>
      <c r="C10" s="8">
        <f>C8+C9</f>
        <v>2833065.991987179</v>
      </c>
      <c r="E10" s="12"/>
      <c r="F10" s="12"/>
      <c r="H10" s="13"/>
      <c r="I10" s="4"/>
      <c r="J10" s="4"/>
      <c r="K10" s="4"/>
    </row>
    <row r="11" spans="2:11" x14ac:dyDescent="0.35">
      <c r="B11" s="4"/>
      <c r="C11" s="4"/>
      <c r="E11" s="12"/>
      <c r="I11" s="4"/>
      <c r="J11" s="4"/>
      <c r="K11" s="4"/>
    </row>
    <row r="12" spans="2:11" x14ac:dyDescent="0.35">
      <c r="B12" s="7" t="s">
        <v>8</v>
      </c>
      <c r="C12" s="4">
        <f>C9-C5</f>
        <v>115966.44762820506</v>
      </c>
      <c r="E12" s="13" t="s">
        <v>9</v>
      </c>
      <c r="F12" s="8" t="s">
        <v>10</v>
      </c>
      <c r="G12" s="14" t="s">
        <v>11</v>
      </c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I13" s="4"/>
      <c r="J13" s="4"/>
      <c r="K13" s="4"/>
    </row>
    <row r="14" spans="2:11" x14ac:dyDescent="0.35">
      <c r="B14" s="4" t="s">
        <v>13</v>
      </c>
      <c r="C14" s="4">
        <f>C8-C4</f>
        <v>610349.72435897402</v>
      </c>
      <c r="F14" s="4"/>
      <c r="I14" s="4"/>
      <c r="J14" s="4"/>
      <c r="K14" s="4"/>
    </row>
    <row r="15" spans="2:11" x14ac:dyDescent="0.35">
      <c r="B15" s="4" t="s">
        <v>14</v>
      </c>
      <c r="C15" s="4"/>
      <c r="F15" s="4"/>
      <c r="I15" s="4"/>
      <c r="J15" s="4"/>
      <c r="K15" s="4"/>
    </row>
    <row r="16" spans="2:11" x14ac:dyDescent="0.35">
      <c r="B16" s="4" t="s">
        <v>45</v>
      </c>
      <c r="C16" s="49">
        <f>C10*0%</f>
        <v>0</v>
      </c>
      <c r="F16" s="4"/>
      <c r="I16" s="4"/>
      <c r="J16" s="4"/>
      <c r="K16" s="4"/>
    </row>
    <row r="17" spans="2:14" x14ac:dyDescent="0.35">
      <c r="B17" s="4" t="s">
        <v>16</v>
      </c>
      <c r="C17" s="4">
        <f>C10-C6-C12-C15-C16</f>
        <v>610349.72435897414</v>
      </c>
      <c r="F17" s="4"/>
      <c r="I17" s="4"/>
      <c r="J17" s="4"/>
      <c r="K17" s="4"/>
    </row>
    <row r="18" spans="2:14" x14ac:dyDescent="0.35">
      <c r="B18" s="4"/>
      <c r="C18" s="4"/>
      <c r="F18" s="4"/>
      <c r="I18" s="4"/>
      <c r="J18" s="4"/>
      <c r="K18" s="4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I19" s="4"/>
      <c r="J19" s="4"/>
      <c r="K19" s="4"/>
    </row>
    <row r="20" spans="2:14" x14ac:dyDescent="0.35">
      <c r="B20" s="4"/>
      <c r="C20" s="4"/>
      <c r="D20" s="18"/>
      <c r="E20" s="18"/>
      <c r="F20" s="18"/>
      <c r="I20" s="4"/>
      <c r="J20" s="4"/>
    </row>
    <row r="21" spans="2:14" x14ac:dyDescent="0.35">
      <c r="B21" s="19" t="s">
        <v>18</v>
      </c>
      <c r="C21" s="20">
        <f>C17-C19-C18-C20</f>
        <v>610349.72435897414</v>
      </c>
      <c r="I21" s="4"/>
      <c r="J21" s="4"/>
    </row>
    <row r="22" spans="2:14" x14ac:dyDescent="0.35">
      <c r="B22" s="4"/>
      <c r="C22" s="4"/>
      <c r="I22" s="4"/>
      <c r="J22" s="4"/>
      <c r="K22" s="4"/>
      <c r="L22" s="4"/>
      <c r="M22" s="4"/>
      <c r="N22" s="4"/>
    </row>
    <row r="23" spans="2:14" x14ac:dyDescent="0.35">
      <c r="B23" s="19" t="s">
        <v>19</v>
      </c>
      <c r="C23" s="21">
        <f>C14*12.5%</f>
        <v>76293.715544871753</v>
      </c>
      <c r="E23" s="136" t="s">
        <v>20</v>
      </c>
      <c r="F23" s="136" t="s">
        <v>21</v>
      </c>
      <c r="G23" s="11" t="s">
        <v>22</v>
      </c>
      <c r="I23" s="1"/>
      <c r="M23" s="4"/>
      <c r="N23" s="4"/>
    </row>
    <row r="24" spans="2:14" x14ac:dyDescent="0.35">
      <c r="B24" s="52"/>
      <c r="C24" s="16"/>
      <c r="I24" s="1"/>
      <c r="K24" s="53"/>
      <c r="L24" s="53"/>
      <c r="M24" s="4"/>
      <c r="N24" s="4"/>
    </row>
    <row r="25" spans="2:14" x14ac:dyDescent="0.35">
      <c r="B25" s="19" t="s">
        <v>23</v>
      </c>
      <c r="C25" s="21">
        <f>C21-C23</f>
        <v>534056.00881410239</v>
      </c>
      <c r="D25" s="136" t="s">
        <v>24</v>
      </c>
      <c r="E25" s="8">
        <f>C25*100/C8</f>
        <v>22.432469003060834</v>
      </c>
      <c r="F25" s="3" t="s">
        <v>25</v>
      </c>
      <c r="I25" s="1"/>
    </row>
    <row r="26" spans="2:14" x14ac:dyDescent="0.35">
      <c r="I26" s="1"/>
    </row>
    <row r="27" spans="2:14" x14ac:dyDescent="0.35">
      <c r="B27" s="19" t="s">
        <v>26</v>
      </c>
      <c r="C27" s="21">
        <f>C25*0%</f>
        <v>0</v>
      </c>
      <c r="D27" s="33" t="s">
        <v>27</v>
      </c>
      <c r="I27" s="1"/>
    </row>
    <row r="28" spans="2:14" x14ac:dyDescent="0.35">
      <c r="I28" s="1"/>
    </row>
    <row r="29" spans="2:14" x14ac:dyDescent="0.35">
      <c r="B29" s="19" t="s">
        <v>28</v>
      </c>
      <c r="C29" s="20">
        <f>C25-C27</f>
        <v>534056.00881410239</v>
      </c>
      <c r="I29" s="1"/>
    </row>
    <row r="30" spans="2:14" x14ac:dyDescent="0.35">
      <c r="B30" s="52"/>
      <c r="C30" s="13"/>
      <c r="I30" s="1"/>
    </row>
    <row r="31" spans="2:14" x14ac:dyDescent="0.35">
      <c r="B31" s="19" t="s">
        <v>29</v>
      </c>
      <c r="C31" s="20">
        <v>0</v>
      </c>
      <c r="I31" s="1"/>
    </row>
    <row r="32" spans="2:14" x14ac:dyDescent="0.35">
      <c r="B32" s="52"/>
      <c r="C32" s="16"/>
      <c r="I32" s="1"/>
    </row>
    <row r="33" spans="2:9" x14ac:dyDescent="0.35">
      <c r="B33" s="19" t="s">
        <v>30</v>
      </c>
      <c r="C33" s="20">
        <f>C29*0/100</f>
        <v>0</v>
      </c>
      <c r="I33" s="1"/>
    </row>
    <row r="34" spans="2:9" x14ac:dyDescent="0.35">
      <c r="B34" s="23"/>
      <c r="C34" s="13"/>
      <c r="I34" s="1"/>
    </row>
    <row r="35" spans="2:9" x14ac:dyDescent="0.35">
      <c r="B35" s="19" t="s">
        <v>31</v>
      </c>
      <c r="C35" s="20">
        <f>C29-C31-C33</f>
        <v>534056.00881410239</v>
      </c>
      <c r="D35" s="33" t="s">
        <v>27</v>
      </c>
      <c r="E35" s="16"/>
      <c r="F35" s="16"/>
      <c r="H35" s="12"/>
      <c r="I35" s="1"/>
    </row>
    <row r="36" spans="2:9" x14ac:dyDescent="0.35">
      <c r="B36" s="23"/>
      <c r="C36" s="13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64" t="s">
        <v>33</v>
      </c>
      <c r="C38" s="56" t="s">
        <v>34</v>
      </c>
      <c r="D38" s="56" t="s">
        <v>35</v>
      </c>
      <c r="E38" s="57" t="s">
        <v>36</v>
      </c>
      <c r="F38" s="57" t="s">
        <v>37</v>
      </c>
      <c r="G38" s="57" t="s">
        <v>38</v>
      </c>
      <c r="H38" s="57" t="s">
        <v>39</v>
      </c>
      <c r="I38" s="1"/>
    </row>
    <row r="39" spans="2:9" ht="16" customHeight="1" x14ac:dyDescent="0.35">
      <c r="B39" s="66" t="s">
        <v>133</v>
      </c>
      <c r="C39" s="63">
        <v>1</v>
      </c>
      <c r="D39" s="54">
        <v>1344454</v>
      </c>
      <c r="E39" s="77">
        <f>D39/(1-22%)</f>
        <v>1723658.9743589743</v>
      </c>
      <c r="F39" s="55">
        <f t="shared" ref="F39:F43" si="0">D39*C39</f>
        <v>1344454</v>
      </c>
      <c r="G39" s="55">
        <f t="shared" ref="G39:G43" si="1">E39*C39</f>
        <v>1723658.9743589743</v>
      </c>
      <c r="H39" s="55">
        <f t="shared" ref="H39:H43" si="2">G39-F39</f>
        <v>379204.97435897426</v>
      </c>
      <c r="I39" s="59" t="s">
        <v>134</v>
      </c>
    </row>
    <row r="40" spans="2:9" ht="16" customHeight="1" x14ac:dyDescent="0.35">
      <c r="B40" s="66" t="s">
        <v>135</v>
      </c>
      <c r="C40" s="63">
        <v>1</v>
      </c>
      <c r="D40" s="54">
        <v>410924</v>
      </c>
      <c r="E40" s="77">
        <f>D40/(1-36%)</f>
        <v>642068.75</v>
      </c>
      <c r="F40" s="55">
        <f t="shared" si="0"/>
        <v>410924</v>
      </c>
      <c r="G40" s="55">
        <f t="shared" si="1"/>
        <v>642068.75</v>
      </c>
      <c r="H40" s="55">
        <f t="shared" si="2"/>
        <v>231144.75</v>
      </c>
      <c r="I40" s="59" t="s">
        <v>136</v>
      </c>
    </row>
    <row r="41" spans="2:9" ht="16" customHeight="1" x14ac:dyDescent="0.35">
      <c r="B41" s="66"/>
      <c r="C41" s="60">
        <v>1</v>
      </c>
      <c r="D41" s="54">
        <v>15000</v>
      </c>
      <c r="E41" s="77">
        <v>15000</v>
      </c>
      <c r="F41" s="55">
        <f t="shared" si="0"/>
        <v>15000</v>
      </c>
      <c r="G41" s="55">
        <f t="shared" si="1"/>
        <v>15000</v>
      </c>
      <c r="H41" s="55">
        <f t="shared" si="2"/>
        <v>0</v>
      </c>
      <c r="I41" s="59"/>
    </row>
    <row r="42" spans="2:9" x14ac:dyDescent="0.35">
      <c r="B42" s="58"/>
      <c r="C42" s="61"/>
      <c r="D42" s="54"/>
      <c r="E42" s="77">
        <f t="shared" ref="E42:E43" si="3">D42/(1-24%)</f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1"/>
    </row>
    <row r="43" spans="2:9" x14ac:dyDescent="0.35">
      <c r="B43" s="58"/>
      <c r="C43" s="61"/>
      <c r="D43" s="54"/>
      <c r="E43" s="77">
        <f t="shared" si="3"/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D44" s="30"/>
      <c r="E44" s="3" t="s">
        <v>41</v>
      </c>
      <c r="F44" s="31">
        <f>SUM(F39:F43)</f>
        <v>1770378</v>
      </c>
      <c r="G44" s="31">
        <f>SUM(G39:G43)</f>
        <v>2380727.724358974</v>
      </c>
      <c r="H44" s="31">
        <f>SUM(H39:H43)</f>
        <v>610349.72435897426</v>
      </c>
      <c r="I44" s="1"/>
    </row>
    <row r="45" spans="2:9" x14ac:dyDescent="0.35">
      <c r="B45" s="12" t="s">
        <v>12</v>
      </c>
      <c r="I45" s="1"/>
    </row>
    <row r="46" spans="2:9" x14ac:dyDescent="0.35">
      <c r="C46" s="65"/>
      <c r="I46" s="1"/>
    </row>
    <row r="47" spans="2:9" x14ac:dyDescent="0.35">
      <c r="C47" s="65"/>
      <c r="I47" s="1"/>
    </row>
    <row r="48" spans="2:9" x14ac:dyDescent="0.35">
      <c r="D48" s="65"/>
      <c r="I48" s="1"/>
    </row>
    <row r="49" spans="9:9" x14ac:dyDescent="0.35">
      <c r="I49" s="1"/>
    </row>
  </sheetData>
  <mergeCells count="5">
    <mergeCell ref="B2:C2"/>
    <mergeCell ref="E2:F2"/>
    <mergeCell ref="B3:C3"/>
    <mergeCell ref="E3:F3"/>
    <mergeCell ref="B37:H37"/>
  </mergeCells>
  <hyperlinks>
    <hyperlink ref="I39" r:id="rId1" xr:uid="{3DEEC617-57DE-484F-9F85-7421619561B8}"/>
    <hyperlink ref="I40" r:id="rId2" xr:uid="{49DCD151-9E99-451B-A000-05E7F807ADCE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9DC86-18A8-403B-BC08-2C54B8B3DF44}">
  <sheetPr codeName="Hoja27"/>
  <dimension ref="B1:N51"/>
  <sheetViews>
    <sheetView topLeftCell="A19" zoomScale="85" zoomScaleNormal="85" workbookViewId="0">
      <selection activeCell="C43" sqref="C43"/>
    </sheetView>
  </sheetViews>
  <sheetFormatPr baseColWidth="10" defaultColWidth="12.453125" defaultRowHeight="14.5" x14ac:dyDescent="0.35"/>
  <cols>
    <col min="1" max="1" width="4" style="1" customWidth="1"/>
    <col min="2" max="2" width="104.54296875" style="1" bestFit="1" customWidth="1"/>
    <col min="3" max="3" width="24.54296875" style="1" bestFit="1" customWidth="1"/>
    <col min="4" max="4" width="13.54296875" style="1" customWidth="1"/>
    <col min="5" max="6" width="17.81640625" style="1" customWidth="1"/>
    <col min="7" max="7" width="19.453125" style="2" customWidth="1"/>
    <col min="8" max="8" width="19.453125" style="1" customWidth="1"/>
    <col min="9" max="9" width="75.54296875" style="76" bestFit="1" customWidth="1"/>
    <col min="10" max="10" width="9.1796875" style="1" bestFit="1" customWidth="1"/>
    <col min="11" max="11" width="13" style="1" bestFit="1" customWidth="1"/>
    <col min="12" max="16384" width="12.453125" style="1"/>
  </cols>
  <sheetData>
    <row r="1" spans="2:11" x14ac:dyDescent="0.35">
      <c r="I1" s="1"/>
    </row>
    <row r="2" spans="2:11" ht="15" customHeight="1" x14ac:dyDescent="0.35">
      <c r="B2" s="143"/>
      <c r="C2" s="144"/>
      <c r="E2" s="145"/>
      <c r="F2" s="145"/>
      <c r="I2" s="1"/>
    </row>
    <row r="3" spans="2:11" x14ac:dyDescent="0.35">
      <c r="B3" s="146"/>
      <c r="C3" s="147"/>
      <c r="D3" s="3"/>
      <c r="E3" s="145"/>
      <c r="F3" s="145"/>
      <c r="H3" s="3"/>
      <c r="I3" s="1"/>
    </row>
    <row r="4" spans="2:11" x14ac:dyDescent="0.35">
      <c r="B4" s="4" t="s">
        <v>0</v>
      </c>
      <c r="C4" s="4">
        <f>F44+111477.31</f>
        <v>1166477.31</v>
      </c>
      <c r="I4" s="1"/>
      <c r="K4" s="4"/>
    </row>
    <row r="5" spans="2:11" x14ac:dyDescent="0.35">
      <c r="B5" s="4" t="s">
        <v>1</v>
      </c>
      <c r="C5" s="6">
        <f>C4*19%</f>
        <v>221630.68890000001</v>
      </c>
      <c r="E5" s="3" t="s">
        <v>2</v>
      </c>
      <c r="I5" s="1"/>
      <c r="K5" s="4"/>
    </row>
    <row r="6" spans="2:11" x14ac:dyDescent="0.35">
      <c r="B6" s="7" t="s">
        <v>3</v>
      </c>
      <c r="C6" s="8">
        <f>SUM(C4:C5)</f>
        <v>1388107.9989</v>
      </c>
      <c r="I6" s="1"/>
      <c r="K6" s="4"/>
    </row>
    <row r="7" spans="2:11" x14ac:dyDescent="0.35">
      <c r="B7" s="4"/>
      <c r="C7" s="4"/>
      <c r="I7" s="1"/>
      <c r="K7" s="4"/>
    </row>
    <row r="8" spans="2:11" x14ac:dyDescent="0.35">
      <c r="B8" s="4" t="s">
        <v>4</v>
      </c>
      <c r="C8" s="4">
        <f>G44</f>
        <v>1918250</v>
      </c>
      <c r="I8" s="1"/>
      <c r="K8" s="4"/>
    </row>
    <row r="9" spans="2:11" x14ac:dyDescent="0.35">
      <c r="B9" s="4" t="s">
        <v>5</v>
      </c>
      <c r="C9" s="6">
        <f>C8*19%</f>
        <v>364467.5</v>
      </c>
      <c r="E9" s="9" t="s">
        <v>6</v>
      </c>
      <c r="F9" s="10"/>
      <c r="G9" s="11"/>
      <c r="H9" s="12"/>
      <c r="I9" s="4"/>
      <c r="J9" s="4"/>
      <c r="K9" s="4"/>
    </row>
    <row r="10" spans="2:11" x14ac:dyDescent="0.35">
      <c r="B10" s="8" t="s">
        <v>7</v>
      </c>
      <c r="C10" s="8">
        <f>C8+C9</f>
        <v>2282717.5</v>
      </c>
      <c r="E10" s="12"/>
      <c r="F10" s="12"/>
      <c r="H10" s="13"/>
      <c r="I10" s="4"/>
      <c r="J10" s="4"/>
      <c r="K10" s="4"/>
    </row>
    <row r="11" spans="2:11" x14ac:dyDescent="0.35">
      <c r="B11" s="4"/>
      <c r="C11" s="4"/>
      <c r="E11" s="12"/>
      <c r="I11" s="4"/>
      <c r="J11" s="4"/>
      <c r="K11" s="4"/>
    </row>
    <row r="12" spans="2:11" x14ac:dyDescent="0.35">
      <c r="B12" s="7" t="s">
        <v>8</v>
      </c>
      <c r="C12" s="4">
        <f>C9-C5</f>
        <v>142836.81109999999</v>
      </c>
      <c r="E12" s="13" t="s">
        <v>9</v>
      </c>
      <c r="F12" s="8" t="s">
        <v>10</v>
      </c>
      <c r="G12" s="14" t="s">
        <v>11</v>
      </c>
      <c r="I12" s="4"/>
      <c r="J12" s="4"/>
      <c r="K12" s="4"/>
    </row>
    <row r="13" spans="2:11" x14ac:dyDescent="0.35">
      <c r="B13" s="4"/>
      <c r="C13" s="4"/>
      <c r="D13" s="1" t="s">
        <v>12</v>
      </c>
      <c r="E13" s="12"/>
      <c r="F13" s="4"/>
      <c r="I13" s="4"/>
      <c r="J13" s="4"/>
      <c r="K13" s="4"/>
    </row>
    <row r="14" spans="2:11" x14ac:dyDescent="0.35">
      <c r="B14" s="4" t="s">
        <v>13</v>
      </c>
      <c r="C14" s="4">
        <f>C8-C4</f>
        <v>751772.69</v>
      </c>
      <c r="F14" s="4"/>
      <c r="I14" s="4"/>
      <c r="J14" s="4"/>
      <c r="K14" s="4"/>
    </row>
    <row r="15" spans="2:11" x14ac:dyDescent="0.35">
      <c r="B15" s="4" t="s">
        <v>14</v>
      </c>
      <c r="C15" s="4"/>
      <c r="F15" s="4"/>
      <c r="I15" s="4"/>
      <c r="J15" s="4"/>
      <c r="K15" s="4"/>
    </row>
    <row r="16" spans="2:11" x14ac:dyDescent="0.35">
      <c r="B16" s="4" t="s">
        <v>148</v>
      </c>
      <c r="C16" s="49">
        <v>10000</v>
      </c>
      <c r="F16" s="4"/>
      <c r="I16" s="4"/>
      <c r="J16" s="4"/>
      <c r="K16" s="4"/>
    </row>
    <row r="17" spans="2:14" x14ac:dyDescent="0.35">
      <c r="B17" s="4" t="s">
        <v>16</v>
      </c>
      <c r="C17" s="4">
        <f>C10-C6-C12-C15-C16</f>
        <v>741772.69</v>
      </c>
      <c r="F17" s="4"/>
      <c r="I17" s="4"/>
      <c r="J17" s="4"/>
      <c r="K17" s="4"/>
    </row>
    <row r="18" spans="2:14" x14ac:dyDescent="0.35">
      <c r="B18" s="4"/>
      <c r="C18" s="4"/>
      <c r="F18" s="4"/>
      <c r="I18" s="4"/>
      <c r="J18" s="4"/>
      <c r="K18" s="4"/>
    </row>
    <row r="19" spans="2:14" x14ac:dyDescent="0.35">
      <c r="B19" s="4" t="s">
        <v>17</v>
      </c>
      <c r="C19" s="4">
        <f>C14*0%</f>
        <v>0</v>
      </c>
      <c r="D19" s="32"/>
      <c r="E19" s="16"/>
      <c r="F19" s="17"/>
      <c r="I19" s="4"/>
      <c r="J19" s="4"/>
      <c r="K19" s="4"/>
    </row>
    <row r="20" spans="2:14" x14ac:dyDescent="0.35">
      <c r="B20" s="4"/>
      <c r="C20" s="4"/>
      <c r="D20" s="18"/>
      <c r="E20" s="18"/>
      <c r="F20" s="18"/>
      <c r="I20" s="4"/>
      <c r="J20" s="4"/>
    </row>
    <row r="21" spans="2:14" x14ac:dyDescent="0.35">
      <c r="B21" s="19" t="s">
        <v>18</v>
      </c>
      <c r="C21" s="20">
        <f>C17-C19-C18-C20</f>
        <v>741772.69</v>
      </c>
      <c r="I21" s="4"/>
      <c r="J21" s="4"/>
    </row>
    <row r="22" spans="2:14" x14ac:dyDescent="0.35">
      <c r="B22" s="4"/>
      <c r="C22" s="4"/>
      <c r="I22" s="4"/>
      <c r="J22" s="4"/>
      <c r="K22" s="4"/>
      <c r="L22" s="4"/>
      <c r="M22" s="4"/>
      <c r="N22" s="4"/>
    </row>
    <row r="23" spans="2:14" x14ac:dyDescent="0.35">
      <c r="B23" s="19" t="s">
        <v>19</v>
      </c>
      <c r="C23" s="21">
        <f>C14*12.5%</f>
        <v>93971.586249999993</v>
      </c>
      <c r="E23" s="136" t="s">
        <v>20</v>
      </c>
      <c r="F23" s="136" t="s">
        <v>21</v>
      </c>
      <c r="G23" s="11" t="s">
        <v>22</v>
      </c>
      <c r="I23" s="1"/>
      <c r="M23" s="4"/>
      <c r="N23" s="4"/>
    </row>
    <row r="24" spans="2:14" x14ac:dyDescent="0.35">
      <c r="B24" s="52"/>
      <c r="C24" s="16"/>
      <c r="I24" s="1"/>
      <c r="K24" s="53"/>
      <c r="L24" s="53"/>
      <c r="M24" s="4"/>
      <c r="N24" s="4"/>
    </row>
    <row r="25" spans="2:14" x14ac:dyDescent="0.35">
      <c r="B25" s="19" t="s">
        <v>23</v>
      </c>
      <c r="C25" s="21">
        <f>C21-C23</f>
        <v>647801.10375000001</v>
      </c>
      <c r="D25" s="136" t="s">
        <v>24</v>
      </c>
      <c r="E25" s="8">
        <f>C25*100/C8</f>
        <v>33.77042115209175</v>
      </c>
      <c r="F25" s="3" t="s">
        <v>25</v>
      </c>
      <c r="I25" s="1"/>
    </row>
    <row r="26" spans="2:14" x14ac:dyDescent="0.35">
      <c r="I26" s="1"/>
    </row>
    <row r="27" spans="2:14" x14ac:dyDescent="0.35">
      <c r="B27" s="19" t="s">
        <v>26</v>
      </c>
      <c r="C27" s="21">
        <f>C25*0%</f>
        <v>0</v>
      </c>
      <c r="D27" s="33" t="s">
        <v>27</v>
      </c>
      <c r="I27" s="1"/>
    </row>
    <row r="28" spans="2:14" x14ac:dyDescent="0.35">
      <c r="I28" s="1"/>
    </row>
    <row r="29" spans="2:14" x14ac:dyDescent="0.35">
      <c r="B29" s="19" t="s">
        <v>28</v>
      </c>
      <c r="C29" s="20">
        <f>C25-C27</f>
        <v>647801.10375000001</v>
      </c>
      <c r="I29" s="1"/>
    </row>
    <row r="30" spans="2:14" x14ac:dyDescent="0.35">
      <c r="B30" s="52"/>
      <c r="C30" s="13"/>
      <c r="I30" s="1"/>
    </row>
    <row r="31" spans="2:14" x14ac:dyDescent="0.35">
      <c r="B31" s="19" t="s">
        <v>29</v>
      </c>
      <c r="C31" s="20">
        <v>0</v>
      </c>
      <c r="F31" s="4"/>
      <c r="I31" s="1"/>
    </row>
    <row r="32" spans="2:14" x14ac:dyDescent="0.35">
      <c r="B32" s="52"/>
      <c r="C32" s="16"/>
      <c r="F32" s="4"/>
      <c r="I32" s="1"/>
    </row>
    <row r="33" spans="2:9" x14ac:dyDescent="0.35">
      <c r="B33" s="19" t="s">
        <v>30</v>
      </c>
      <c r="C33" s="20">
        <f>C29*0/100</f>
        <v>0</v>
      </c>
      <c r="F33" s="4"/>
      <c r="I33" s="1"/>
    </row>
    <row r="34" spans="2:9" x14ac:dyDescent="0.35">
      <c r="B34" s="23"/>
      <c r="C34" s="13"/>
      <c r="F34" s="4"/>
      <c r="I34" s="1"/>
    </row>
    <row r="35" spans="2:9" x14ac:dyDescent="0.35">
      <c r="B35" s="19" t="s">
        <v>31</v>
      </c>
      <c r="C35" s="20">
        <f>C29-C31-C33</f>
        <v>647801.10375000001</v>
      </c>
      <c r="D35" s="33" t="s">
        <v>27</v>
      </c>
      <c r="E35" s="16"/>
      <c r="F35" s="16"/>
      <c r="H35" s="12"/>
      <c r="I35" s="1"/>
    </row>
    <row r="36" spans="2:9" x14ac:dyDescent="0.35">
      <c r="B36" s="23"/>
      <c r="C36" s="13"/>
      <c r="I36" s="1"/>
    </row>
    <row r="37" spans="2:9" x14ac:dyDescent="0.35">
      <c r="B37" s="148" t="s">
        <v>32</v>
      </c>
      <c r="C37" s="149"/>
      <c r="D37" s="149"/>
      <c r="E37" s="149"/>
      <c r="F37" s="149"/>
      <c r="G37" s="149"/>
      <c r="H37" s="150"/>
      <c r="I37" s="1"/>
    </row>
    <row r="38" spans="2:9" x14ac:dyDescent="0.35">
      <c r="B38" s="24" t="s">
        <v>33</v>
      </c>
      <c r="C38" s="25" t="s">
        <v>34</v>
      </c>
      <c r="D38" s="25" t="s">
        <v>35</v>
      </c>
      <c r="E38" s="26" t="s">
        <v>36</v>
      </c>
      <c r="F38" s="26" t="s">
        <v>37</v>
      </c>
      <c r="G38" s="26" t="s">
        <v>38</v>
      </c>
      <c r="H38" s="27" t="s">
        <v>39</v>
      </c>
      <c r="I38" s="1"/>
    </row>
    <row r="39" spans="2:9" ht="16" customHeight="1" x14ac:dyDescent="0.35">
      <c r="B39" s="94" t="s">
        <v>138</v>
      </c>
      <c r="C39" s="95">
        <v>0</v>
      </c>
      <c r="D39" s="54">
        <v>24529</v>
      </c>
      <c r="E39" s="77">
        <v>34900</v>
      </c>
      <c r="F39" s="29">
        <f t="shared" ref="F39:F43" si="0">D39*C39</f>
        <v>0</v>
      </c>
      <c r="G39" s="29">
        <f t="shared" ref="G39:G43" si="1">E39*C39</f>
        <v>0</v>
      </c>
      <c r="H39" s="29">
        <f t="shared" ref="H39:H43" si="2">G39-F39</f>
        <v>0</v>
      </c>
      <c r="I39" s="59"/>
    </row>
    <row r="40" spans="2:9" ht="16" customHeight="1" x14ac:dyDescent="0.35">
      <c r="B40" s="89" t="s">
        <v>139</v>
      </c>
      <c r="C40" s="91">
        <v>0</v>
      </c>
      <c r="D40" s="92">
        <v>27290</v>
      </c>
      <c r="E40" s="93">
        <v>32000</v>
      </c>
      <c r="F40" s="55">
        <f t="shared" si="0"/>
        <v>0</v>
      </c>
      <c r="G40" s="55">
        <f t="shared" si="1"/>
        <v>0</v>
      </c>
      <c r="H40" s="55">
        <f t="shared" si="2"/>
        <v>0</v>
      </c>
      <c r="I40" s="59"/>
    </row>
    <row r="41" spans="2:9" ht="16" customHeight="1" x14ac:dyDescent="0.35">
      <c r="B41" s="66" t="s">
        <v>127</v>
      </c>
      <c r="C41" s="62">
        <v>250</v>
      </c>
      <c r="D41" s="54">
        <v>4220</v>
      </c>
      <c r="E41" s="77">
        <v>7673</v>
      </c>
      <c r="F41" s="55">
        <f t="shared" si="0"/>
        <v>1055000</v>
      </c>
      <c r="G41" s="55">
        <f t="shared" si="1"/>
        <v>1918250</v>
      </c>
      <c r="H41" s="55">
        <f t="shared" si="2"/>
        <v>863250</v>
      </c>
      <c r="I41" s="59"/>
    </row>
    <row r="42" spans="2:9" x14ac:dyDescent="0.35">
      <c r="B42" s="58"/>
      <c r="C42" s="61"/>
      <c r="D42" s="54"/>
      <c r="E42" s="77">
        <f t="shared" ref="E42" si="3">D42/(1-30%)</f>
        <v>0</v>
      </c>
      <c r="F42" s="55">
        <f t="shared" si="0"/>
        <v>0</v>
      </c>
      <c r="G42" s="55">
        <f t="shared" si="1"/>
        <v>0</v>
      </c>
      <c r="H42" s="55">
        <f t="shared" si="2"/>
        <v>0</v>
      </c>
      <c r="I42" s="51"/>
    </row>
    <row r="43" spans="2:9" x14ac:dyDescent="0.35">
      <c r="B43" s="58"/>
      <c r="C43" s="61"/>
      <c r="D43" s="54"/>
      <c r="E43" s="77">
        <f t="shared" ref="E43" si="4">D43/(1-24%)</f>
        <v>0</v>
      </c>
      <c r="F43" s="55">
        <f t="shared" si="0"/>
        <v>0</v>
      </c>
      <c r="G43" s="55">
        <f t="shared" si="1"/>
        <v>0</v>
      </c>
      <c r="H43" s="55">
        <f t="shared" si="2"/>
        <v>0</v>
      </c>
      <c r="I43" s="51"/>
    </row>
    <row r="44" spans="2:9" x14ac:dyDescent="0.35">
      <c r="D44" s="30"/>
      <c r="E44" s="3" t="s">
        <v>41</v>
      </c>
      <c r="F44" s="31">
        <f>SUM(F39:F43)</f>
        <v>1055000</v>
      </c>
      <c r="G44" s="31">
        <f>SUM(G39:G43)</f>
        <v>1918250</v>
      </c>
      <c r="H44" s="31">
        <f>SUM(H39:H43)</f>
        <v>863250</v>
      </c>
      <c r="I44" s="1"/>
    </row>
    <row r="45" spans="2:9" x14ac:dyDescent="0.35">
      <c r="B45" s="12" t="s">
        <v>12</v>
      </c>
      <c r="I45" s="1"/>
    </row>
    <row r="46" spans="2:9" x14ac:dyDescent="0.35">
      <c r="C46" s="65"/>
      <c r="I46" s="1"/>
    </row>
    <row r="47" spans="2:9" x14ac:dyDescent="0.35">
      <c r="C47" s="65"/>
      <c r="I47" s="1"/>
    </row>
    <row r="48" spans="2:9" x14ac:dyDescent="0.35">
      <c r="D48" s="65"/>
      <c r="I48" s="1"/>
    </row>
    <row r="49" spans="2:9" x14ac:dyDescent="0.35">
      <c r="I49" s="1"/>
    </row>
    <row r="50" spans="2:9" x14ac:dyDescent="0.35">
      <c r="B50" s="12" t="s">
        <v>12</v>
      </c>
    </row>
    <row r="51" spans="2:9" x14ac:dyDescent="0.35">
      <c r="C51" s="65"/>
    </row>
  </sheetData>
  <mergeCells count="5">
    <mergeCell ref="B2:C2"/>
    <mergeCell ref="E2:F2"/>
    <mergeCell ref="B3:C3"/>
    <mergeCell ref="E3:F3"/>
    <mergeCell ref="B37:H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FACT 434</vt:lpstr>
      <vt:lpstr>FACT.669</vt:lpstr>
      <vt:lpstr>FACT.670</vt:lpstr>
      <vt:lpstr>FACT.692</vt:lpstr>
      <vt:lpstr>FACT. 693</vt:lpstr>
      <vt:lpstr>FACT.696</vt:lpstr>
      <vt:lpstr>FACT.703</vt:lpstr>
      <vt:lpstr>FACT.705</vt:lpstr>
      <vt:lpstr>FACT.706</vt:lpstr>
      <vt:lpstr>Vitrins Kathrine </vt:lpstr>
      <vt:lpstr>Vitrina Pastelera</vt:lpstr>
      <vt:lpstr>Cortadora de Pan Gate</vt:lpstr>
      <vt:lpstr>Visicooler</vt:lpstr>
      <vt:lpstr>Frigobar Gate</vt:lpstr>
      <vt:lpstr>Horno</vt:lpstr>
      <vt:lpstr>Sartenes Gate</vt:lpstr>
      <vt:lpstr>Congeladora Gate</vt:lpstr>
      <vt:lpstr>Poruña Gate</vt:lpstr>
      <vt:lpstr>Tapas GN Gate</vt:lpstr>
      <vt:lpstr>Materiales Access</vt:lpstr>
      <vt:lpstr>Horno Gate</vt:lpstr>
      <vt:lpstr>CORDELES ORICA Coquimbo</vt:lpstr>
      <vt:lpstr>CESTAS</vt:lpstr>
      <vt:lpstr>MESON AC 150X100</vt:lpstr>
      <vt:lpstr>Congeladora Gate (2)</vt:lpstr>
      <vt:lpstr>CORDELES ORICA  (3)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personal</dc:creator>
  <cp:keywords/>
  <dc:description/>
  <cp:lastModifiedBy>Jarvi Arenas</cp:lastModifiedBy>
  <cp:revision/>
  <dcterms:created xsi:type="dcterms:W3CDTF">2022-04-06T17:17:49Z</dcterms:created>
  <dcterms:modified xsi:type="dcterms:W3CDTF">2026-06-29T20:44:26Z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742a09-bfb0-4510-9e26-b9837db26482_Enabled">
    <vt:lpwstr>true</vt:lpwstr>
  </property>
  <property fmtid="{D5CDD505-2E9C-101B-9397-08002B2CF9AE}" pid="3" name="MSIP_Label_77742a09-bfb0-4510-9e26-b9837db26482_SetDate">
    <vt:lpwstr>2022-04-22T17:00:25Z</vt:lpwstr>
  </property>
  <property fmtid="{D5CDD505-2E9C-101B-9397-08002B2CF9AE}" pid="4" name="MSIP_Label_77742a09-bfb0-4510-9e26-b9837db26482_Method">
    <vt:lpwstr>Privileged</vt:lpwstr>
  </property>
  <property fmtid="{D5CDD505-2E9C-101B-9397-08002B2CF9AE}" pid="5" name="MSIP_Label_77742a09-bfb0-4510-9e26-b9837db26482_Name">
    <vt:lpwstr>General</vt:lpwstr>
  </property>
  <property fmtid="{D5CDD505-2E9C-101B-9397-08002B2CF9AE}" pid="6" name="MSIP_Label_77742a09-bfb0-4510-9e26-b9837db26482_SiteId">
    <vt:lpwstr>a21a716e-fb9a-45c0-b997-e26360b0a3a1</vt:lpwstr>
  </property>
  <property fmtid="{D5CDD505-2E9C-101B-9397-08002B2CF9AE}" pid="7" name="MSIP_Label_77742a09-bfb0-4510-9e26-b9837db26482_ActionId">
    <vt:lpwstr>1236371d-533a-402d-9058-305e8386a724</vt:lpwstr>
  </property>
  <property fmtid="{D5CDD505-2E9C-101B-9397-08002B2CF9AE}" pid="8" name="MSIP_Label_77742a09-bfb0-4510-9e26-b9837db26482_ContentBits">
    <vt:lpwstr>2</vt:lpwstr>
  </property>
</Properties>
</file>