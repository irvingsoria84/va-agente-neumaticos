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mc:AlternateContent xmlns:mc="http://schemas.openxmlformats.org/markup-compatibility/2006">
    <mc:Choice Requires="x15">
      <x15ac:absPath xmlns:x15ac="http://schemas.microsoft.com/office/spreadsheetml/2010/11/ac" url="https://d.docs.live.net/9b713e9864da5dd4/01. Avantti Solutions Spa/1.8 Liste de Precios Neumaticos/"/>
    </mc:Choice>
  </mc:AlternateContent>
  <xr:revisionPtr revIDLastSave="35" documentId="8_{D5B01513-3ABB-41FD-911A-09536FB07E68}" xr6:coauthVersionLast="47" xr6:coauthVersionMax="47" xr10:uidLastSave="{3DAC4A06-F186-41FA-99CF-70AA42B73BC5}"/>
  <bookViews>
    <workbookView xWindow="28680" yWindow="-120" windowWidth="29040" windowHeight="15720" xr2:uid="{BA020F83-41A1-4EBD-897D-B333F82BA314}"/>
  </bookViews>
  <sheets>
    <sheet name="TBR " sheetId="3" r:id="rId1"/>
    <sheet name="AGREI,IND,MIN,HOR" sheetId="2" r:id="rId2"/>
  </sheets>
  <definedNames>
    <definedName name="_xlnm._FilterDatabase" localSheetId="1" hidden="1">'AGREI,IND,MIN,HOR'!$A$1:$F$1</definedName>
    <definedName name="_xlnm._FilterDatabase" localSheetId="0" hidden="1">'TBR '!$A$1:$N$299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2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2" i="3"/>
  <c r="J3" i="3"/>
  <c r="J4" i="3"/>
  <c r="J5" i="3"/>
  <c r="J6" i="3"/>
  <c r="J7" i="3"/>
  <c r="J8" i="3"/>
  <c r="J9" i="3"/>
  <c r="J10" i="3"/>
  <c r="J11" i="3"/>
  <c r="J12" i="3"/>
  <c r="J331" i="3"/>
  <c r="J330" i="3"/>
  <c r="J329" i="3"/>
  <c r="J328" i="3"/>
  <c r="J327" i="3"/>
  <c r="J326" i="3"/>
  <c r="J325" i="3"/>
  <c r="J324" i="3"/>
  <c r="J323" i="3"/>
  <c r="J322" i="3"/>
  <c r="J321" i="3"/>
  <c r="J320" i="3"/>
  <c r="J319" i="3"/>
  <c r="J318" i="3"/>
  <c r="J317" i="3"/>
  <c r="J316" i="3"/>
  <c r="J315" i="3"/>
  <c r="J314" i="3"/>
  <c r="J313" i="3"/>
  <c r="J312" i="3"/>
  <c r="J311" i="3"/>
  <c r="J310" i="3"/>
  <c r="J309" i="3"/>
  <c r="J308" i="3"/>
  <c r="J307" i="3"/>
  <c r="J306" i="3"/>
  <c r="J305" i="3"/>
  <c r="J304" i="3"/>
  <c r="J303" i="3"/>
  <c r="J302" i="3"/>
  <c r="J301" i="3"/>
  <c r="J300" i="3"/>
  <c r="G3" i="3"/>
  <c r="H3" i="3" s="1"/>
  <c r="I3" i="3" s="1"/>
  <c r="G4" i="3"/>
  <c r="H4" i="3" s="1"/>
  <c r="I4" i="3" s="1"/>
  <c r="G5" i="3"/>
  <c r="H5" i="3" s="1"/>
  <c r="G6" i="3"/>
  <c r="H6" i="3" s="1"/>
  <c r="G7" i="3"/>
  <c r="H7" i="3" s="1"/>
  <c r="I7" i="3" s="1"/>
  <c r="G8" i="3"/>
  <c r="H8" i="3" s="1"/>
  <c r="I8" i="3" s="1"/>
  <c r="G9" i="3"/>
  <c r="G10" i="3"/>
  <c r="G11" i="3"/>
  <c r="H11" i="3" s="1"/>
  <c r="I11" i="3" s="1"/>
  <c r="G12" i="3"/>
  <c r="H12" i="3" s="1"/>
  <c r="I12" i="3" s="1"/>
  <c r="G13" i="3"/>
  <c r="G14" i="3"/>
  <c r="G15" i="3"/>
  <c r="H15" i="3" s="1"/>
  <c r="I15" i="3" s="1"/>
  <c r="G16" i="3"/>
  <c r="H16" i="3" s="1"/>
  <c r="I16" i="3" s="1"/>
  <c r="G17" i="3"/>
  <c r="H17" i="3" s="1"/>
  <c r="G18" i="3"/>
  <c r="G19" i="3"/>
  <c r="H19" i="3" s="1"/>
  <c r="I19" i="3" s="1"/>
  <c r="G20" i="3"/>
  <c r="H20" i="3" s="1"/>
  <c r="I20" i="3" s="1"/>
  <c r="G21" i="3"/>
  <c r="H21" i="3" s="1"/>
  <c r="G22" i="3"/>
  <c r="H22" i="3" s="1"/>
  <c r="G23" i="3"/>
  <c r="H23" i="3" s="1"/>
  <c r="I23" i="3" s="1"/>
  <c r="L23" i="3" s="1"/>
  <c r="G24" i="3"/>
  <c r="H24" i="3" s="1"/>
  <c r="I24" i="3" s="1"/>
  <c r="J24" i="3" s="1"/>
  <c r="G25" i="3"/>
  <c r="G26" i="3"/>
  <c r="G27" i="3"/>
  <c r="H27" i="3" s="1"/>
  <c r="I27" i="3" s="1"/>
  <c r="G28" i="3"/>
  <c r="H28" i="3" s="1"/>
  <c r="I28" i="3" s="1"/>
  <c r="G29" i="3"/>
  <c r="G30" i="3"/>
  <c r="G31" i="3"/>
  <c r="H31" i="3" s="1"/>
  <c r="I31" i="3" s="1"/>
  <c r="G32" i="3"/>
  <c r="H32" i="3" s="1"/>
  <c r="I32" i="3" s="1"/>
  <c r="G33" i="3"/>
  <c r="G34" i="3"/>
  <c r="G35" i="3"/>
  <c r="H35" i="3" s="1"/>
  <c r="I35" i="3" s="1"/>
  <c r="G36" i="3"/>
  <c r="H36" i="3" s="1"/>
  <c r="I36" i="3" s="1"/>
  <c r="G37" i="3"/>
  <c r="H37" i="3" s="1"/>
  <c r="G38" i="3"/>
  <c r="H38" i="3" s="1"/>
  <c r="G39" i="3"/>
  <c r="H39" i="3" s="1"/>
  <c r="I39" i="3" s="1"/>
  <c r="G40" i="3"/>
  <c r="G41" i="3"/>
  <c r="G42" i="3"/>
  <c r="G43" i="3"/>
  <c r="H43" i="3" s="1"/>
  <c r="I43" i="3" s="1"/>
  <c r="J43" i="3" s="1"/>
  <c r="G44" i="3"/>
  <c r="G45" i="3"/>
  <c r="G46" i="3"/>
  <c r="H46" i="3" s="1"/>
  <c r="G47" i="3"/>
  <c r="H47" i="3" s="1"/>
  <c r="I47" i="3" s="1"/>
  <c r="G48" i="3"/>
  <c r="H48" i="3" s="1"/>
  <c r="G49" i="3"/>
  <c r="G50" i="3"/>
  <c r="G51" i="3"/>
  <c r="H51" i="3" s="1"/>
  <c r="I51" i="3" s="1"/>
  <c r="G52" i="3"/>
  <c r="G53" i="3"/>
  <c r="G54" i="3"/>
  <c r="H54" i="3" s="1"/>
  <c r="G55" i="3"/>
  <c r="H55" i="3" s="1"/>
  <c r="I55" i="3" s="1"/>
  <c r="G56" i="3"/>
  <c r="H56" i="3" s="1"/>
  <c r="G57" i="3"/>
  <c r="H57" i="3" s="1"/>
  <c r="G58" i="3"/>
  <c r="G59" i="3"/>
  <c r="G60" i="3"/>
  <c r="H60" i="3" s="1"/>
  <c r="I60" i="3" s="1"/>
  <c r="G61" i="3"/>
  <c r="H61" i="3" s="1"/>
  <c r="G62" i="3"/>
  <c r="G63" i="3"/>
  <c r="H63" i="3" s="1"/>
  <c r="G64" i="3"/>
  <c r="H64" i="3" s="1"/>
  <c r="I64" i="3" s="1"/>
  <c r="G65" i="3"/>
  <c r="G66" i="3"/>
  <c r="H66" i="3" s="1"/>
  <c r="G67" i="3"/>
  <c r="G68" i="3"/>
  <c r="H68" i="3" s="1"/>
  <c r="I68" i="3" s="1"/>
  <c r="G69" i="3"/>
  <c r="H69" i="3" s="1"/>
  <c r="G70" i="3"/>
  <c r="H70" i="3" s="1"/>
  <c r="I70" i="3" s="1"/>
  <c r="G71" i="3"/>
  <c r="H71" i="3" s="1"/>
  <c r="I71" i="3" s="1"/>
  <c r="G72" i="3"/>
  <c r="H72" i="3" s="1"/>
  <c r="I72" i="3" s="1"/>
  <c r="G73" i="3"/>
  <c r="H73" i="3" s="1"/>
  <c r="G74" i="3"/>
  <c r="H74" i="3" s="1"/>
  <c r="G75" i="3"/>
  <c r="H75" i="3" s="1"/>
  <c r="I75" i="3" s="1"/>
  <c r="G76" i="3"/>
  <c r="H76" i="3" s="1"/>
  <c r="I76" i="3" s="1"/>
  <c r="G77" i="3"/>
  <c r="G78" i="3"/>
  <c r="H78" i="3" s="1"/>
  <c r="G79" i="3"/>
  <c r="H79" i="3" s="1"/>
  <c r="I79" i="3" s="1"/>
  <c r="G80" i="3"/>
  <c r="G81" i="3"/>
  <c r="G82" i="3"/>
  <c r="H82" i="3" s="1"/>
  <c r="G83" i="3"/>
  <c r="H83" i="3" s="1"/>
  <c r="I83" i="3" s="1"/>
  <c r="G84" i="3"/>
  <c r="H84" i="3" s="1"/>
  <c r="I84" i="3" s="1"/>
  <c r="G85" i="3"/>
  <c r="H85" i="3" s="1"/>
  <c r="G86" i="3"/>
  <c r="H86" i="3" s="1"/>
  <c r="G87" i="3"/>
  <c r="H87" i="3" s="1"/>
  <c r="I87" i="3" s="1"/>
  <c r="L87" i="3" s="1"/>
  <c r="G88" i="3"/>
  <c r="H88" i="3" s="1"/>
  <c r="I88" i="3" s="1"/>
  <c r="G89" i="3"/>
  <c r="H89" i="3" s="1"/>
  <c r="G90" i="3"/>
  <c r="H90" i="3" s="1"/>
  <c r="G91" i="3"/>
  <c r="H91" i="3" s="1"/>
  <c r="I91" i="3" s="1"/>
  <c r="G92" i="3"/>
  <c r="H92" i="3" s="1"/>
  <c r="I92" i="3" s="1"/>
  <c r="G93" i="3"/>
  <c r="H93" i="3" s="1"/>
  <c r="G94" i="3"/>
  <c r="H94" i="3" s="1"/>
  <c r="G95" i="3"/>
  <c r="H95" i="3" s="1"/>
  <c r="I95" i="3" s="1"/>
  <c r="G96" i="3"/>
  <c r="H96" i="3" s="1"/>
  <c r="I96" i="3" s="1"/>
  <c r="G97" i="3"/>
  <c r="H97" i="3" s="1"/>
  <c r="G98" i="3"/>
  <c r="G99" i="3"/>
  <c r="H99" i="3" s="1"/>
  <c r="I99" i="3" s="1"/>
  <c r="G100" i="3"/>
  <c r="H100" i="3" s="1"/>
  <c r="I100" i="3" s="1"/>
  <c r="G101" i="3"/>
  <c r="H101" i="3" s="1"/>
  <c r="G102" i="3"/>
  <c r="H102" i="3" s="1"/>
  <c r="G103" i="3"/>
  <c r="H103" i="3" s="1"/>
  <c r="I103" i="3" s="1"/>
  <c r="G104" i="3"/>
  <c r="H104" i="3" s="1"/>
  <c r="I104" i="3" s="1"/>
  <c r="G105" i="3"/>
  <c r="G106" i="3"/>
  <c r="H106" i="3" s="1"/>
  <c r="G107" i="3"/>
  <c r="H107" i="3" s="1"/>
  <c r="G108" i="3"/>
  <c r="H108" i="3" s="1"/>
  <c r="I108" i="3" s="1"/>
  <c r="G109" i="3"/>
  <c r="G110" i="3"/>
  <c r="H110" i="3" s="1"/>
  <c r="G111" i="3"/>
  <c r="H111" i="3" s="1"/>
  <c r="I111" i="3" s="1"/>
  <c r="G112" i="3"/>
  <c r="H112" i="3" s="1"/>
  <c r="I112" i="3" s="1"/>
  <c r="G113" i="3"/>
  <c r="H113" i="3" s="1"/>
  <c r="G114" i="3"/>
  <c r="G115" i="3"/>
  <c r="G116" i="3"/>
  <c r="G117" i="3"/>
  <c r="H117" i="3" s="1"/>
  <c r="G118" i="3"/>
  <c r="H118" i="3" s="1"/>
  <c r="I118" i="3" s="1"/>
  <c r="G119" i="3"/>
  <c r="H119" i="3" s="1"/>
  <c r="I119" i="3" s="1"/>
  <c r="G120" i="3"/>
  <c r="H120" i="3" s="1"/>
  <c r="I120" i="3" s="1"/>
  <c r="G121" i="3"/>
  <c r="G122" i="3"/>
  <c r="G123" i="3"/>
  <c r="H123" i="3" s="1"/>
  <c r="I123" i="3" s="1"/>
  <c r="G124" i="3"/>
  <c r="H124" i="3" s="1"/>
  <c r="I124" i="3" s="1"/>
  <c r="G125" i="3"/>
  <c r="H125" i="3" s="1"/>
  <c r="G126" i="3"/>
  <c r="H126" i="3" s="1"/>
  <c r="G127" i="3"/>
  <c r="H127" i="3" s="1"/>
  <c r="I127" i="3" s="1"/>
  <c r="G128" i="3"/>
  <c r="H128" i="3" s="1"/>
  <c r="I128" i="3" s="1"/>
  <c r="G129" i="3"/>
  <c r="H129" i="3" s="1"/>
  <c r="G130" i="3"/>
  <c r="G131" i="3"/>
  <c r="H131" i="3" s="1"/>
  <c r="I131" i="3" s="1"/>
  <c r="G132" i="3"/>
  <c r="H132" i="3" s="1"/>
  <c r="I132" i="3" s="1"/>
  <c r="G133" i="3"/>
  <c r="G134" i="3"/>
  <c r="H134" i="3" s="1"/>
  <c r="G135" i="3"/>
  <c r="H135" i="3" s="1"/>
  <c r="I135" i="3" s="1"/>
  <c r="G136" i="3"/>
  <c r="H136" i="3" s="1"/>
  <c r="I136" i="3" s="1"/>
  <c r="G137" i="3"/>
  <c r="G138" i="3"/>
  <c r="H138" i="3" s="1"/>
  <c r="G139" i="3"/>
  <c r="H139" i="3" s="1"/>
  <c r="I139" i="3" s="1"/>
  <c r="G140" i="3"/>
  <c r="H140" i="3" s="1"/>
  <c r="I140" i="3" s="1"/>
  <c r="G141" i="3"/>
  <c r="G142" i="3"/>
  <c r="G143" i="3"/>
  <c r="H143" i="3" s="1"/>
  <c r="G144" i="3"/>
  <c r="H144" i="3" s="1"/>
  <c r="I144" i="3" s="1"/>
  <c r="G145" i="3"/>
  <c r="G146" i="3"/>
  <c r="G147" i="3"/>
  <c r="H147" i="3" s="1"/>
  <c r="I147" i="3" s="1"/>
  <c r="G148" i="3"/>
  <c r="H148" i="3" s="1"/>
  <c r="I148" i="3" s="1"/>
  <c r="G149" i="3"/>
  <c r="G150" i="3"/>
  <c r="H150" i="3" s="1"/>
  <c r="G151" i="3"/>
  <c r="H151" i="3" s="1"/>
  <c r="I151" i="3" s="1"/>
  <c r="G152" i="3"/>
  <c r="H152" i="3" s="1"/>
  <c r="I152" i="3" s="1"/>
  <c r="G153" i="3"/>
  <c r="H153" i="3" s="1"/>
  <c r="G154" i="3"/>
  <c r="H154" i="3" s="1"/>
  <c r="G155" i="3"/>
  <c r="H155" i="3" s="1"/>
  <c r="I155" i="3" s="1"/>
  <c r="G156" i="3"/>
  <c r="H156" i="3" s="1"/>
  <c r="I156" i="3" s="1"/>
  <c r="G157" i="3"/>
  <c r="G158" i="3"/>
  <c r="H158" i="3" s="1"/>
  <c r="G159" i="3"/>
  <c r="H159" i="3" s="1"/>
  <c r="I159" i="3" s="1"/>
  <c r="G160" i="3"/>
  <c r="H160" i="3" s="1"/>
  <c r="I160" i="3" s="1"/>
  <c r="G161" i="3"/>
  <c r="H161" i="3" s="1"/>
  <c r="G162" i="3"/>
  <c r="G163" i="3"/>
  <c r="H163" i="3" s="1"/>
  <c r="I163" i="3" s="1"/>
  <c r="G164" i="3"/>
  <c r="H164" i="3" s="1"/>
  <c r="I164" i="3" s="1"/>
  <c r="G165" i="3"/>
  <c r="G166" i="3"/>
  <c r="G167" i="3"/>
  <c r="H167" i="3" s="1"/>
  <c r="I167" i="3" s="1"/>
  <c r="G168" i="3"/>
  <c r="H168" i="3" s="1"/>
  <c r="I168" i="3" s="1"/>
  <c r="G169" i="3"/>
  <c r="G170" i="3"/>
  <c r="H170" i="3" s="1"/>
  <c r="G171" i="3"/>
  <c r="H171" i="3" s="1"/>
  <c r="I171" i="3" s="1"/>
  <c r="G172" i="3"/>
  <c r="H172" i="3" s="1"/>
  <c r="I172" i="3" s="1"/>
  <c r="G173" i="3"/>
  <c r="G174" i="3"/>
  <c r="H174" i="3" s="1"/>
  <c r="G175" i="3"/>
  <c r="H175" i="3" s="1"/>
  <c r="I175" i="3" s="1"/>
  <c r="G176" i="3"/>
  <c r="H176" i="3" s="1"/>
  <c r="I176" i="3" s="1"/>
  <c r="G177" i="3"/>
  <c r="G178" i="3"/>
  <c r="G179" i="3"/>
  <c r="H179" i="3" s="1"/>
  <c r="I179" i="3" s="1"/>
  <c r="G180" i="3"/>
  <c r="H180" i="3" s="1"/>
  <c r="G181" i="3"/>
  <c r="H181" i="3" s="1"/>
  <c r="G182" i="3"/>
  <c r="G183" i="3"/>
  <c r="H183" i="3" s="1"/>
  <c r="I183" i="3" s="1"/>
  <c r="G184" i="3"/>
  <c r="H184" i="3" s="1"/>
  <c r="G185" i="3"/>
  <c r="G186" i="3"/>
  <c r="G187" i="3"/>
  <c r="H187" i="3" s="1"/>
  <c r="I187" i="3" s="1"/>
  <c r="G188" i="3"/>
  <c r="H188" i="3" s="1"/>
  <c r="I188" i="3" s="1"/>
  <c r="G189" i="3"/>
  <c r="G190" i="3"/>
  <c r="H190" i="3" s="1"/>
  <c r="G191" i="3"/>
  <c r="H191" i="3" s="1"/>
  <c r="I191" i="3" s="1"/>
  <c r="G192" i="3"/>
  <c r="H192" i="3" s="1"/>
  <c r="I192" i="3" s="1"/>
  <c r="G193" i="3"/>
  <c r="G194" i="3"/>
  <c r="G195" i="3"/>
  <c r="H195" i="3" s="1"/>
  <c r="I195" i="3" s="1"/>
  <c r="G196" i="3"/>
  <c r="H196" i="3" s="1"/>
  <c r="I196" i="3" s="1"/>
  <c r="G197" i="3"/>
  <c r="G198" i="3"/>
  <c r="G199" i="3"/>
  <c r="H199" i="3" s="1"/>
  <c r="I199" i="3" s="1"/>
  <c r="G200" i="3"/>
  <c r="H200" i="3" s="1"/>
  <c r="I200" i="3" s="1"/>
  <c r="G201" i="3"/>
  <c r="H201" i="3" s="1"/>
  <c r="G202" i="3"/>
  <c r="G203" i="3"/>
  <c r="H203" i="3" s="1"/>
  <c r="I203" i="3" s="1"/>
  <c r="G204" i="3"/>
  <c r="H204" i="3" s="1"/>
  <c r="I204" i="3" s="1"/>
  <c r="G205" i="3"/>
  <c r="H205" i="3" s="1"/>
  <c r="G206" i="3"/>
  <c r="H206" i="3" s="1"/>
  <c r="G207" i="3"/>
  <c r="H207" i="3" s="1"/>
  <c r="I207" i="3" s="1"/>
  <c r="G208" i="3"/>
  <c r="H208" i="3" s="1"/>
  <c r="I208" i="3" s="1"/>
  <c r="G209" i="3"/>
  <c r="G210" i="3"/>
  <c r="G211" i="3"/>
  <c r="H211" i="3" s="1"/>
  <c r="I211" i="3" s="1"/>
  <c r="G212" i="3"/>
  <c r="H212" i="3" s="1"/>
  <c r="I212" i="3" s="1"/>
  <c r="G213" i="3"/>
  <c r="G214" i="3"/>
  <c r="H214" i="3" s="1"/>
  <c r="G215" i="3"/>
  <c r="H215" i="3" s="1"/>
  <c r="I215" i="3" s="1"/>
  <c r="G216" i="3"/>
  <c r="H216" i="3" s="1"/>
  <c r="I216" i="3" s="1"/>
  <c r="L216" i="3" s="1"/>
  <c r="G217" i="3"/>
  <c r="H217" i="3" s="1"/>
  <c r="G218" i="3"/>
  <c r="G219" i="3"/>
  <c r="H219" i="3" s="1"/>
  <c r="I219" i="3" s="1"/>
  <c r="G220" i="3"/>
  <c r="H220" i="3" s="1"/>
  <c r="I220" i="3" s="1"/>
  <c r="G221" i="3"/>
  <c r="H221" i="3" s="1"/>
  <c r="G222" i="3"/>
  <c r="G223" i="3"/>
  <c r="H223" i="3" s="1"/>
  <c r="I223" i="3" s="1"/>
  <c r="G224" i="3"/>
  <c r="H224" i="3" s="1"/>
  <c r="I224" i="3" s="1"/>
  <c r="G225" i="3"/>
  <c r="H225" i="3" s="1"/>
  <c r="G226" i="3"/>
  <c r="H226" i="3" s="1"/>
  <c r="G227" i="3"/>
  <c r="H227" i="3" s="1"/>
  <c r="I227" i="3" s="1"/>
  <c r="G228" i="3"/>
  <c r="G229" i="3"/>
  <c r="H229" i="3" s="1"/>
  <c r="G230" i="3"/>
  <c r="H230" i="3" s="1"/>
  <c r="G231" i="3"/>
  <c r="H231" i="3" s="1"/>
  <c r="I231" i="3" s="1"/>
  <c r="G232" i="3"/>
  <c r="G233" i="3"/>
  <c r="G234" i="3"/>
  <c r="H234" i="3" s="1"/>
  <c r="G235" i="3"/>
  <c r="H235" i="3" s="1"/>
  <c r="I235" i="3" s="1"/>
  <c r="G236" i="3"/>
  <c r="H236" i="3" s="1"/>
  <c r="I236" i="3" s="1"/>
  <c r="G237" i="3"/>
  <c r="G238" i="3"/>
  <c r="H238" i="3" s="1"/>
  <c r="G239" i="3"/>
  <c r="H239" i="3" s="1"/>
  <c r="I239" i="3" s="1"/>
  <c r="G240" i="3"/>
  <c r="H240" i="3" s="1"/>
  <c r="I240" i="3" s="1"/>
  <c r="G241" i="3"/>
  <c r="H241" i="3" s="1"/>
  <c r="G242" i="3"/>
  <c r="G243" i="3"/>
  <c r="H243" i="3" s="1"/>
  <c r="I243" i="3" s="1"/>
  <c r="G244" i="3"/>
  <c r="H244" i="3" s="1"/>
  <c r="I244" i="3" s="1"/>
  <c r="G245" i="3"/>
  <c r="G246" i="3"/>
  <c r="H246" i="3" s="1"/>
  <c r="G247" i="3"/>
  <c r="H247" i="3" s="1"/>
  <c r="I247" i="3" s="1"/>
  <c r="G248" i="3"/>
  <c r="H248" i="3" s="1"/>
  <c r="G249" i="3"/>
  <c r="G250" i="3"/>
  <c r="H250" i="3" s="1"/>
  <c r="G251" i="3"/>
  <c r="H251" i="3" s="1"/>
  <c r="I251" i="3" s="1"/>
  <c r="G252" i="3"/>
  <c r="G253" i="3"/>
  <c r="H253" i="3" s="1"/>
  <c r="G254" i="3"/>
  <c r="H254" i="3" s="1"/>
  <c r="G255" i="3"/>
  <c r="H255" i="3" s="1"/>
  <c r="I255" i="3" s="1"/>
  <c r="G256" i="3"/>
  <c r="H256" i="3" s="1"/>
  <c r="I256" i="3" s="1"/>
  <c r="G257" i="3"/>
  <c r="G258" i="3"/>
  <c r="H258" i="3" s="1"/>
  <c r="G259" i="3"/>
  <c r="H259" i="3" s="1"/>
  <c r="G260" i="3"/>
  <c r="H260" i="3" s="1"/>
  <c r="G261" i="3"/>
  <c r="G262" i="3"/>
  <c r="H262" i="3" s="1"/>
  <c r="G263" i="3"/>
  <c r="H263" i="3" s="1"/>
  <c r="I263" i="3" s="1"/>
  <c r="G264" i="3"/>
  <c r="H264" i="3" s="1"/>
  <c r="I264" i="3" s="1"/>
  <c r="G265" i="3"/>
  <c r="H265" i="3" s="1"/>
  <c r="G266" i="3"/>
  <c r="G267" i="3"/>
  <c r="H267" i="3" s="1"/>
  <c r="I267" i="3" s="1"/>
  <c r="G268" i="3"/>
  <c r="H268" i="3" s="1"/>
  <c r="I268" i="3" s="1"/>
  <c r="G269" i="3"/>
  <c r="H269" i="3" s="1"/>
  <c r="G270" i="3"/>
  <c r="H270" i="3" s="1"/>
  <c r="G271" i="3"/>
  <c r="H271" i="3" s="1"/>
  <c r="I271" i="3" s="1"/>
  <c r="G272" i="3"/>
  <c r="H272" i="3" s="1"/>
  <c r="I272" i="3" s="1"/>
  <c r="G273" i="3"/>
  <c r="H273" i="3" s="1"/>
  <c r="G274" i="3"/>
  <c r="G275" i="3"/>
  <c r="H275" i="3" s="1"/>
  <c r="I275" i="3" s="1"/>
  <c r="G276" i="3"/>
  <c r="H276" i="3" s="1"/>
  <c r="I276" i="3" s="1"/>
  <c r="G277" i="3"/>
  <c r="G278" i="3"/>
  <c r="H278" i="3" s="1"/>
  <c r="G279" i="3"/>
  <c r="H279" i="3" s="1"/>
  <c r="I279" i="3" s="1"/>
  <c r="G280" i="3"/>
  <c r="H280" i="3" s="1"/>
  <c r="I280" i="3" s="1"/>
  <c r="G281" i="3"/>
  <c r="G282" i="3"/>
  <c r="G283" i="3"/>
  <c r="H283" i="3" s="1"/>
  <c r="I283" i="3" s="1"/>
  <c r="G284" i="3"/>
  <c r="H284" i="3" s="1"/>
  <c r="I284" i="3" s="1"/>
  <c r="G285" i="3"/>
  <c r="H285" i="3" s="1"/>
  <c r="G286" i="3"/>
  <c r="H286" i="3" s="1"/>
  <c r="G287" i="3"/>
  <c r="H287" i="3" s="1"/>
  <c r="I287" i="3" s="1"/>
  <c r="G288" i="3"/>
  <c r="H288" i="3" s="1"/>
  <c r="I288" i="3" s="1"/>
  <c r="G289" i="3"/>
  <c r="G290" i="3"/>
  <c r="G291" i="3"/>
  <c r="H291" i="3" s="1"/>
  <c r="I291" i="3" s="1"/>
  <c r="G292" i="3"/>
  <c r="H292" i="3" s="1"/>
  <c r="I292" i="3" s="1"/>
  <c r="G293" i="3"/>
  <c r="G294" i="3"/>
  <c r="H294" i="3" s="1"/>
  <c r="G295" i="3"/>
  <c r="H295" i="3" s="1"/>
  <c r="I295" i="3" s="1"/>
  <c r="G296" i="3"/>
  <c r="H296" i="3" s="1"/>
  <c r="I296" i="3" s="1"/>
  <c r="G297" i="3"/>
  <c r="H297" i="3" s="1"/>
  <c r="G298" i="3"/>
  <c r="G299" i="3"/>
  <c r="H299" i="3" s="1"/>
  <c r="I299" i="3" s="1"/>
  <c r="G2" i="3"/>
  <c r="J16" i="3" l="1"/>
  <c r="J32" i="3"/>
  <c r="J19" i="3"/>
  <c r="J27" i="3"/>
  <c r="J35" i="3"/>
  <c r="J51" i="3"/>
  <c r="J20" i="3"/>
  <c r="J28" i="3"/>
  <c r="J36" i="3"/>
  <c r="J15" i="3"/>
  <c r="J23" i="3"/>
  <c r="J31" i="3"/>
  <c r="J39" i="3"/>
  <c r="J47" i="3"/>
  <c r="J55" i="3"/>
  <c r="I21" i="3"/>
  <c r="I238" i="3"/>
  <c r="H133" i="3"/>
  <c r="I133" i="3" s="1"/>
  <c r="I278" i="3"/>
  <c r="I262" i="3"/>
  <c r="I230" i="3"/>
  <c r="H80" i="3"/>
  <c r="I80" i="3" s="1"/>
  <c r="L152" i="3"/>
  <c r="H115" i="3"/>
  <c r="I115" i="3" s="1"/>
  <c r="H59" i="3"/>
  <c r="I59" i="3" s="1"/>
  <c r="L200" i="3"/>
  <c r="H249" i="3"/>
  <c r="I249" i="3" s="1"/>
  <c r="H233" i="3"/>
  <c r="I233" i="3" s="1"/>
  <c r="H209" i="3"/>
  <c r="I209" i="3" s="1"/>
  <c r="H185" i="3"/>
  <c r="I185" i="3" s="1"/>
  <c r="H169" i="3"/>
  <c r="I169" i="3"/>
  <c r="H105" i="3"/>
  <c r="I105" i="3" s="1"/>
  <c r="M275" i="3"/>
  <c r="L256" i="3"/>
  <c r="L151" i="3"/>
  <c r="L192" i="3"/>
  <c r="L279" i="3"/>
  <c r="L264" i="3"/>
  <c r="L287" i="3"/>
  <c r="L191" i="3"/>
  <c r="L167" i="3"/>
  <c r="L231" i="3"/>
  <c r="H2" i="3"/>
  <c r="I2" i="3" s="1"/>
  <c r="H67" i="3"/>
  <c r="I67" i="3"/>
  <c r="H289" i="3"/>
  <c r="I289" i="3" s="1"/>
  <c r="L136" i="3"/>
  <c r="L215" i="3"/>
  <c r="L135" i="3"/>
  <c r="I174" i="3"/>
  <c r="I6" i="3"/>
  <c r="I143" i="3"/>
  <c r="I184" i="3"/>
  <c r="I37" i="3"/>
  <c r="J37" i="3" s="1"/>
  <c r="I5" i="3"/>
  <c r="H232" i="3"/>
  <c r="I232" i="3" s="1"/>
  <c r="M244" i="3"/>
  <c r="N244" i="3"/>
  <c r="L244" i="3"/>
  <c r="M196" i="3"/>
  <c r="N196" i="3"/>
  <c r="L196" i="3"/>
  <c r="M164" i="3"/>
  <c r="N164" i="3"/>
  <c r="L164" i="3"/>
  <c r="M124" i="3"/>
  <c r="N124" i="3"/>
  <c r="L124" i="3"/>
  <c r="M100" i="3"/>
  <c r="N100" i="3"/>
  <c r="L100" i="3"/>
  <c r="M70" i="3"/>
  <c r="N70" i="3"/>
  <c r="L70" i="3"/>
  <c r="N284" i="3"/>
  <c r="L284" i="3"/>
  <c r="M284" i="3"/>
  <c r="M220" i="3"/>
  <c r="N220" i="3"/>
  <c r="L220" i="3"/>
  <c r="M140" i="3"/>
  <c r="N140" i="3"/>
  <c r="L140" i="3"/>
  <c r="M224" i="3"/>
  <c r="N224" i="3"/>
  <c r="L224" i="3"/>
  <c r="M176" i="3"/>
  <c r="N176" i="3"/>
  <c r="L176" i="3"/>
  <c r="M119" i="3"/>
  <c r="N119" i="3"/>
  <c r="L119" i="3"/>
  <c r="L118" i="3"/>
  <c r="M118" i="3"/>
  <c r="N118" i="3"/>
  <c r="I297" i="3"/>
  <c r="I265" i="3"/>
  <c r="H257" i="3"/>
  <c r="I257" i="3" s="1"/>
  <c r="I241" i="3"/>
  <c r="I225" i="3"/>
  <c r="I217" i="3"/>
  <c r="H193" i="3"/>
  <c r="I193" i="3" s="1"/>
  <c r="H177" i="3"/>
  <c r="I177" i="3" s="1"/>
  <c r="I161" i="3"/>
  <c r="H137" i="3"/>
  <c r="I137" i="3" s="1"/>
  <c r="H121" i="3"/>
  <c r="I121" i="3" s="1"/>
  <c r="I113" i="3"/>
  <c r="I97" i="3"/>
  <c r="H81" i="3"/>
  <c r="I81" i="3" s="1"/>
  <c r="I73" i="3"/>
  <c r="H65" i="3"/>
  <c r="I65" i="3" s="1"/>
  <c r="I57" i="3"/>
  <c r="H49" i="3"/>
  <c r="I49" i="3" s="1"/>
  <c r="H41" i="3"/>
  <c r="I41" i="3" s="1"/>
  <c r="H33" i="3"/>
  <c r="I33" i="3" s="1"/>
  <c r="J33" i="3" s="1"/>
  <c r="H25" i="3"/>
  <c r="I25" i="3" s="1"/>
  <c r="H9" i="3"/>
  <c r="I9" i="3" s="1"/>
  <c r="I273" i="3"/>
  <c r="I250" i="3"/>
  <c r="M239" i="3"/>
  <c r="N239" i="3"/>
  <c r="I229" i="3"/>
  <c r="I206" i="3"/>
  <c r="H194" i="3"/>
  <c r="I194" i="3" s="1"/>
  <c r="I158" i="3"/>
  <c r="H145" i="3"/>
  <c r="I145" i="3" s="1"/>
  <c r="I134" i="3"/>
  <c r="H122" i="3"/>
  <c r="I122" i="3" s="1"/>
  <c r="I89" i="3"/>
  <c r="I17" i="3"/>
  <c r="H266" i="3"/>
  <c r="I266" i="3" s="1"/>
  <c r="H242" i="3"/>
  <c r="I242" i="3" s="1"/>
  <c r="H218" i="3"/>
  <c r="I218" i="3" s="1"/>
  <c r="H178" i="3"/>
  <c r="I178" i="3" s="1"/>
  <c r="H50" i="3"/>
  <c r="I50" i="3" s="1"/>
  <c r="H18" i="3"/>
  <c r="I18" i="3" s="1"/>
  <c r="N280" i="3"/>
  <c r="M280" i="3"/>
  <c r="M240" i="3"/>
  <c r="N240" i="3"/>
  <c r="L240" i="3"/>
  <c r="M208" i="3"/>
  <c r="N208" i="3"/>
  <c r="L208" i="3"/>
  <c r="M168" i="3"/>
  <c r="N168" i="3"/>
  <c r="L168" i="3"/>
  <c r="M160" i="3"/>
  <c r="N160" i="3"/>
  <c r="L160" i="3"/>
  <c r="M152" i="3"/>
  <c r="N152" i="3"/>
  <c r="M144" i="3"/>
  <c r="N144" i="3"/>
  <c r="L144" i="3"/>
  <c r="M104" i="3"/>
  <c r="N104" i="3"/>
  <c r="L104" i="3"/>
  <c r="L238" i="3"/>
  <c r="M238" i="3"/>
  <c r="N238" i="3"/>
  <c r="I205" i="3"/>
  <c r="M155" i="3"/>
  <c r="N155" i="3"/>
  <c r="L155" i="3"/>
  <c r="M120" i="3"/>
  <c r="N120" i="3"/>
  <c r="L120" i="3"/>
  <c r="M88" i="3"/>
  <c r="N88" i="3"/>
  <c r="L16" i="3"/>
  <c r="M16" i="3"/>
  <c r="N16" i="3"/>
  <c r="M223" i="3"/>
  <c r="N223" i="3"/>
  <c r="M183" i="3"/>
  <c r="N183" i="3"/>
  <c r="L183" i="3"/>
  <c r="M111" i="3"/>
  <c r="N111" i="3"/>
  <c r="M95" i="3"/>
  <c r="N95" i="3"/>
  <c r="M79" i="3"/>
  <c r="N79" i="3"/>
  <c r="L79" i="3"/>
  <c r="M15" i="3"/>
  <c r="N15" i="3"/>
  <c r="L15" i="3"/>
  <c r="N295" i="3"/>
  <c r="M295" i="3"/>
  <c r="L295" i="3"/>
  <c r="I258" i="3"/>
  <c r="M235" i="3"/>
  <c r="N235" i="3"/>
  <c r="L235" i="3"/>
  <c r="M215" i="3"/>
  <c r="N215" i="3"/>
  <c r="I82" i="3"/>
  <c r="I286" i="3"/>
  <c r="I270" i="3"/>
  <c r="I254" i="3"/>
  <c r="I246" i="3"/>
  <c r="H222" i="3"/>
  <c r="I222" i="3"/>
  <c r="H198" i="3"/>
  <c r="I198" i="3" s="1"/>
  <c r="H182" i="3"/>
  <c r="I182" i="3" s="1"/>
  <c r="I150" i="3"/>
  <c r="H142" i="3"/>
  <c r="I142" i="3" s="1"/>
  <c r="I46" i="3"/>
  <c r="I294" i="3"/>
  <c r="H281" i="3"/>
  <c r="I281" i="3" s="1"/>
  <c r="I214" i="3"/>
  <c r="I201" i="3"/>
  <c r="I190" i="3"/>
  <c r="M179" i="3"/>
  <c r="N179" i="3"/>
  <c r="L179" i="3"/>
  <c r="H166" i="3"/>
  <c r="I166" i="3" s="1"/>
  <c r="I153" i="3"/>
  <c r="I129" i="3"/>
  <c r="L64" i="3"/>
  <c r="M64" i="3"/>
  <c r="N64" i="3"/>
  <c r="M43" i="3"/>
  <c r="N43" i="3"/>
  <c r="L43" i="3"/>
  <c r="L239" i="3"/>
  <c r="L111" i="3"/>
  <c r="I234" i="3"/>
  <c r="H202" i="3"/>
  <c r="I202" i="3" s="1"/>
  <c r="H186" i="3"/>
  <c r="I186" i="3" s="1"/>
  <c r="I170" i="3"/>
  <c r="H162" i="3"/>
  <c r="I162" i="3" s="1"/>
  <c r="H146" i="3"/>
  <c r="I146" i="3" s="1"/>
  <c r="H130" i="3"/>
  <c r="I130" i="3" s="1"/>
  <c r="H114" i="3"/>
  <c r="I114" i="3" s="1"/>
  <c r="H98" i="3"/>
  <c r="I98" i="3" s="1"/>
  <c r="H58" i="3"/>
  <c r="I58" i="3" s="1"/>
  <c r="H42" i="3"/>
  <c r="I42" i="3" s="1"/>
  <c r="J42" i="3" s="1"/>
  <c r="H34" i="3"/>
  <c r="I34" i="3" s="1"/>
  <c r="J34" i="3" s="1"/>
  <c r="M262" i="3"/>
  <c r="N262" i="3"/>
  <c r="M159" i="3"/>
  <c r="N159" i="3"/>
  <c r="I90" i="3"/>
  <c r="M55" i="3"/>
  <c r="N55" i="3"/>
  <c r="L55" i="3"/>
  <c r="N288" i="3"/>
  <c r="L288" i="3"/>
  <c r="M288" i="3"/>
  <c r="M264" i="3"/>
  <c r="N264" i="3"/>
  <c r="M216" i="3"/>
  <c r="N216" i="3"/>
  <c r="I285" i="3"/>
  <c r="H277" i="3"/>
  <c r="I277" i="3" s="1"/>
  <c r="H261" i="3"/>
  <c r="I261" i="3" s="1"/>
  <c r="I181" i="3"/>
  <c r="H173" i="3"/>
  <c r="I173" i="3" s="1"/>
  <c r="N279" i="3"/>
  <c r="M279" i="3"/>
  <c r="M255" i="3"/>
  <c r="N255" i="3"/>
  <c r="L255" i="3"/>
  <c r="M211" i="3"/>
  <c r="N211" i="3"/>
  <c r="L211" i="3"/>
  <c r="I138" i="3"/>
  <c r="N292" i="3"/>
  <c r="L292" i="3"/>
  <c r="M292" i="3"/>
  <c r="I260" i="3"/>
  <c r="M236" i="3"/>
  <c r="N236" i="3"/>
  <c r="L236" i="3"/>
  <c r="M204" i="3"/>
  <c r="N204" i="3"/>
  <c r="L204" i="3"/>
  <c r="I180" i="3"/>
  <c r="M172" i="3"/>
  <c r="N172" i="3"/>
  <c r="L172" i="3"/>
  <c r="M132" i="3"/>
  <c r="N132" i="3"/>
  <c r="L132" i="3"/>
  <c r="H116" i="3"/>
  <c r="I116" i="3" s="1"/>
  <c r="M108" i="3"/>
  <c r="N108" i="3"/>
  <c r="L108" i="3"/>
  <c r="M92" i="3"/>
  <c r="N92" i="3"/>
  <c r="L92" i="3"/>
  <c r="M84" i="3"/>
  <c r="N84" i="3"/>
  <c r="L84" i="3"/>
  <c r="M76" i="3"/>
  <c r="N76" i="3"/>
  <c r="L76" i="3"/>
  <c r="M68" i="3"/>
  <c r="N68" i="3"/>
  <c r="L68" i="3"/>
  <c r="M60" i="3"/>
  <c r="N60" i="3"/>
  <c r="L60" i="3"/>
  <c r="H52" i="3"/>
  <c r="I52" i="3" s="1"/>
  <c r="H44" i="3"/>
  <c r="I44" i="3" s="1"/>
  <c r="M36" i="3"/>
  <c r="N36" i="3"/>
  <c r="L36" i="3"/>
  <c r="M28" i="3"/>
  <c r="N28" i="3"/>
  <c r="L28" i="3"/>
  <c r="M20" i="3"/>
  <c r="N20" i="3"/>
  <c r="L20" i="3"/>
  <c r="M12" i="3"/>
  <c r="N12" i="3"/>
  <c r="L12" i="3"/>
  <c r="M4" i="3"/>
  <c r="N4" i="3"/>
  <c r="L4" i="3"/>
  <c r="H290" i="3"/>
  <c r="I290" i="3" s="1"/>
  <c r="H245" i="3"/>
  <c r="I245" i="3" s="1"/>
  <c r="H210" i="3"/>
  <c r="I210" i="3" s="1"/>
  <c r="M199" i="3"/>
  <c r="N199" i="3"/>
  <c r="L199" i="3"/>
  <c r="H189" i="3"/>
  <c r="I189" i="3" s="1"/>
  <c r="M175" i="3"/>
  <c r="N175" i="3"/>
  <c r="M127" i="3"/>
  <c r="N127" i="3"/>
  <c r="L127" i="3"/>
  <c r="M96" i="3"/>
  <c r="N96" i="3"/>
  <c r="L96" i="3"/>
  <c r="L32" i="3"/>
  <c r="M32" i="3"/>
  <c r="N32" i="3"/>
  <c r="L175" i="3"/>
  <c r="L95" i="3"/>
  <c r="H298" i="3"/>
  <c r="I298" i="3" s="1"/>
  <c r="H282" i="3"/>
  <c r="I282" i="3" s="1"/>
  <c r="I226" i="3"/>
  <c r="I154" i="3"/>
  <c r="I106" i="3"/>
  <c r="I66" i="3"/>
  <c r="H26" i="3"/>
  <c r="I26" i="3" s="1"/>
  <c r="H10" i="3"/>
  <c r="I10" i="3" s="1"/>
  <c r="H274" i="3"/>
  <c r="I274" i="3" s="1"/>
  <c r="M207" i="3"/>
  <c r="N207" i="3"/>
  <c r="L207" i="3"/>
  <c r="M171" i="3"/>
  <c r="N171" i="3"/>
  <c r="L171" i="3"/>
  <c r="M148" i="3"/>
  <c r="N148" i="3"/>
  <c r="L148" i="3"/>
  <c r="M112" i="3"/>
  <c r="N112" i="3"/>
  <c r="L112" i="3"/>
  <c r="M21" i="3"/>
  <c r="L21" i="3"/>
  <c r="N21" i="3"/>
  <c r="N296" i="3"/>
  <c r="M296" i="3"/>
  <c r="L296" i="3"/>
  <c r="N272" i="3"/>
  <c r="M272" i="3"/>
  <c r="L272" i="3"/>
  <c r="H293" i="3"/>
  <c r="I293" i="3" s="1"/>
  <c r="I269" i="3"/>
  <c r="H237" i="3"/>
  <c r="I237" i="3" s="1"/>
  <c r="H213" i="3"/>
  <c r="I213" i="3" s="1"/>
  <c r="H197" i="3"/>
  <c r="I197" i="3" s="1"/>
  <c r="H157" i="3"/>
  <c r="I157" i="3" s="1"/>
  <c r="H141" i="3"/>
  <c r="I141" i="3" s="1"/>
  <c r="L37" i="3"/>
  <c r="N291" i="3"/>
  <c r="L291" i="3"/>
  <c r="M291" i="3"/>
  <c r="N268" i="3"/>
  <c r="L268" i="3"/>
  <c r="M268" i="3"/>
  <c r="M200" i="3"/>
  <c r="N200" i="3"/>
  <c r="H165" i="3"/>
  <c r="I165" i="3" s="1"/>
  <c r="M128" i="3"/>
  <c r="N128" i="3"/>
  <c r="L128" i="3"/>
  <c r="N276" i="3"/>
  <c r="M276" i="3"/>
  <c r="L276" i="3"/>
  <c r="H252" i="3"/>
  <c r="I252" i="3"/>
  <c r="H228" i="3"/>
  <c r="I228" i="3" s="1"/>
  <c r="M212" i="3"/>
  <c r="N212" i="3"/>
  <c r="L212" i="3"/>
  <c r="M188" i="3"/>
  <c r="N188" i="3"/>
  <c r="L188" i="3"/>
  <c r="M156" i="3"/>
  <c r="N156" i="3"/>
  <c r="L156" i="3"/>
  <c r="N299" i="3"/>
  <c r="L299" i="3"/>
  <c r="M299" i="3"/>
  <c r="N283" i="3"/>
  <c r="L283" i="3"/>
  <c r="M283" i="3"/>
  <c r="N267" i="3"/>
  <c r="L267" i="3"/>
  <c r="M267" i="3"/>
  <c r="I259" i="3"/>
  <c r="M243" i="3"/>
  <c r="N243" i="3"/>
  <c r="L243" i="3"/>
  <c r="M219" i="3"/>
  <c r="N219" i="3"/>
  <c r="L219" i="3"/>
  <c r="M203" i="3"/>
  <c r="N203" i="3"/>
  <c r="L203" i="3"/>
  <c r="M195" i="3"/>
  <c r="N195" i="3"/>
  <c r="L195" i="3"/>
  <c r="M187" i="3"/>
  <c r="N187" i="3"/>
  <c r="L187" i="3"/>
  <c r="M163" i="3"/>
  <c r="N163" i="3"/>
  <c r="L163" i="3"/>
  <c r="M147" i="3"/>
  <c r="N147" i="3"/>
  <c r="L147" i="3"/>
  <c r="M139" i="3"/>
  <c r="N139" i="3"/>
  <c r="L139" i="3"/>
  <c r="M131" i="3"/>
  <c r="N131" i="3"/>
  <c r="L131" i="3"/>
  <c r="M123" i="3"/>
  <c r="N123" i="3"/>
  <c r="L123" i="3"/>
  <c r="M51" i="3"/>
  <c r="N51" i="3"/>
  <c r="L51" i="3"/>
  <c r="N275" i="3"/>
  <c r="L275" i="3"/>
  <c r="M263" i="3"/>
  <c r="N263" i="3"/>
  <c r="L263" i="3"/>
  <c r="I253" i="3"/>
  <c r="I221" i="3"/>
  <c r="H149" i="3"/>
  <c r="I149" i="3" s="1"/>
  <c r="I74" i="3"/>
  <c r="M31" i="3"/>
  <c r="N31" i="3"/>
  <c r="L31" i="3"/>
  <c r="L280" i="3"/>
  <c r="L223" i="3"/>
  <c r="L159" i="3"/>
  <c r="L88" i="3"/>
  <c r="I107" i="3"/>
  <c r="M99" i="3"/>
  <c r="N99" i="3"/>
  <c r="L99" i="3"/>
  <c r="M83" i="3"/>
  <c r="N83" i="3"/>
  <c r="L83" i="3"/>
  <c r="M35" i="3"/>
  <c r="N35" i="3"/>
  <c r="L35" i="3"/>
  <c r="M27" i="3"/>
  <c r="N27" i="3"/>
  <c r="L27" i="3"/>
  <c r="M19" i="3"/>
  <c r="N19" i="3"/>
  <c r="L19" i="3"/>
  <c r="M11" i="3"/>
  <c r="N11" i="3"/>
  <c r="L11" i="3"/>
  <c r="M3" i="3"/>
  <c r="N3" i="3"/>
  <c r="L3" i="3"/>
  <c r="L72" i="3"/>
  <c r="M72" i="3"/>
  <c r="N72" i="3"/>
  <c r="I56" i="3"/>
  <c r="I48" i="3"/>
  <c r="J48" i="3" s="1"/>
  <c r="H40" i="3"/>
  <c r="I40" i="3" s="1"/>
  <c r="L24" i="3"/>
  <c r="M24" i="3"/>
  <c r="N24" i="3"/>
  <c r="L8" i="3"/>
  <c r="M8" i="3"/>
  <c r="N8" i="3"/>
  <c r="I248" i="3"/>
  <c r="I126" i="3"/>
  <c r="I61" i="3"/>
  <c r="M103" i="3"/>
  <c r="N103" i="3"/>
  <c r="M87" i="3"/>
  <c r="N87" i="3"/>
  <c r="M71" i="3"/>
  <c r="N71" i="3"/>
  <c r="L71" i="3"/>
  <c r="I63" i="3"/>
  <c r="M47" i="3"/>
  <c r="N47" i="3"/>
  <c r="L47" i="3"/>
  <c r="M39" i="3"/>
  <c r="N39" i="3"/>
  <c r="L39" i="3"/>
  <c r="M23" i="3"/>
  <c r="N23" i="3"/>
  <c r="M7" i="3"/>
  <c r="N7" i="3"/>
  <c r="L7" i="3"/>
  <c r="I110" i="3"/>
  <c r="I94" i="3"/>
  <c r="I85" i="3"/>
  <c r="I69" i="3"/>
  <c r="L103" i="3"/>
  <c r="I102" i="3"/>
  <c r="I86" i="3"/>
  <c r="I78" i="3"/>
  <c r="H62" i="3"/>
  <c r="I62" i="3" s="1"/>
  <c r="I54" i="3"/>
  <c r="J54" i="3" s="1"/>
  <c r="H30" i="3"/>
  <c r="I30" i="3" s="1"/>
  <c r="J30" i="3" s="1"/>
  <c r="H14" i="3"/>
  <c r="I14" i="3" s="1"/>
  <c r="J14" i="3" s="1"/>
  <c r="N287" i="3"/>
  <c r="M287" i="3"/>
  <c r="N271" i="3"/>
  <c r="M271" i="3"/>
  <c r="M247" i="3"/>
  <c r="N247" i="3"/>
  <c r="M227" i="3"/>
  <c r="N227" i="3"/>
  <c r="L227" i="3"/>
  <c r="M192" i="3"/>
  <c r="N192" i="3"/>
  <c r="M167" i="3"/>
  <c r="N167" i="3"/>
  <c r="M151" i="3"/>
  <c r="N151" i="3"/>
  <c r="M136" i="3"/>
  <c r="N136" i="3"/>
  <c r="I125" i="3"/>
  <c r="I101" i="3"/>
  <c r="I93" i="3"/>
  <c r="I38" i="3"/>
  <c r="L271" i="3"/>
  <c r="I117" i="3"/>
  <c r="H77" i="3"/>
  <c r="I77" i="3" s="1"/>
  <c r="H53" i="3"/>
  <c r="I53" i="3" s="1"/>
  <c r="J53" i="3" s="1"/>
  <c r="H45" i="3"/>
  <c r="I45" i="3" s="1"/>
  <c r="J45" i="3" s="1"/>
  <c r="H29" i="3"/>
  <c r="I29" i="3" s="1"/>
  <c r="H13" i="3"/>
  <c r="I13" i="3" s="1"/>
  <c r="M256" i="3"/>
  <c r="N256" i="3"/>
  <c r="M251" i="3"/>
  <c r="N251" i="3"/>
  <c r="L251" i="3"/>
  <c r="M231" i="3"/>
  <c r="N231" i="3"/>
  <c r="M191" i="3"/>
  <c r="N191" i="3"/>
  <c r="M135" i="3"/>
  <c r="N135" i="3"/>
  <c r="H109" i="3"/>
  <c r="I109" i="3" s="1"/>
  <c r="M91" i="3"/>
  <c r="N91" i="3"/>
  <c r="L91" i="3"/>
  <c r="M75" i="3"/>
  <c r="N75" i="3"/>
  <c r="L75" i="3"/>
  <c r="I22" i="3"/>
  <c r="J22" i="3" s="1"/>
  <c r="L247" i="3"/>
  <c r="J44" i="3" l="1"/>
  <c r="J38" i="3"/>
  <c r="N184" i="3"/>
  <c r="J17" i="3"/>
  <c r="J41" i="3"/>
  <c r="L184" i="3"/>
  <c r="J29" i="3"/>
  <c r="N278" i="3"/>
  <c r="M184" i="3"/>
  <c r="J49" i="3"/>
  <c r="J18" i="3"/>
  <c r="J46" i="3"/>
  <c r="L230" i="3"/>
  <c r="J50" i="3"/>
  <c r="J21" i="3"/>
  <c r="J25" i="3"/>
  <c r="J26" i="3"/>
  <c r="J40" i="3"/>
  <c r="M230" i="3"/>
  <c r="J52" i="3"/>
  <c r="L262" i="3"/>
  <c r="N67" i="3"/>
  <c r="M67" i="3"/>
  <c r="M174" i="3"/>
  <c r="J13" i="3"/>
  <c r="M133" i="3"/>
  <c r="N133" i="3"/>
  <c r="L133" i="3"/>
  <c r="L174" i="3"/>
  <c r="L289" i="3"/>
  <c r="N230" i="3"/>
  <c r="L278" i="3"/>
  <c r="N6" i="3"/>
  <c r="N169" i="3"/>
  <c r="M249" i="3"/>
  <c r="M278" i="3"/>
  <c r="N174" i="3"/>
  <c r="L59" i="3"/>
  <c r="N59" i="3"/>
  <c r="M185" i="3"/>
  <c r="N185" i="3"/>
  <c r="M209" i="3"/>
  <c r="L80" i="3"/>
  <c r="M80" i="3"/>
  <c r="N80" i="3"/>
  <c r="M233" i="3"/>
  <c r="N233" i="3"/>
  <c r="L233" i="3"/>
  <c r="M105" i="3"/>
  <c r="N105" i="3"/>
  <c r="L105" i="3"/>
  <c r="M6" i="3"/>
  <c r="N37" i="3"/>
  <c r="L5" i="3"/>
  <c r="N289" i="3"/>
  <c r="M37" i="3"/>
  <c r="L67" i="3"/>
  <c r="M2" i="3"/>
  <c r="L2" i="3"/>
  <c r="N2" i="3"/>
  <c r="N115" i="3"/>
  <c r="M115" i="3"/>
  <c r="L115" i="3"/>
  <c r="M289" i="3"/>
  <c r="N143" i="3"/>
  <c r="M59" i="3"/>
  <c r="L185" i="3"/>
  <c r="L232" i="3"/>
  <c r="M143" i="3"/>
  <c r="M232" i="3"/>
  <c r="L209" i="3"/>
  <c r="N5" i="3"/>
  <c r="L249" i="3"/>
  <c r="L143" i="3"/>
  <c r="M169" i="3"/>
  <c r="N232" i="3"/>
  <c r="N209" i="3"/>
  <c r="M5" i="3"/>
  <c r="L6" i="3"/>
  <c r="L169" i="3"/>
  <c r="N249" i="3"/>
  <c r="M213" i="3"/>
  <c r="L213" i="3"/>
  <c r="N213" i="3"/>
  <c r="M245" i="3"/>
  <c r="L245" i="3"/>
  <c r="N245" i="3"/>
  <c r="L58" i="3"/>
  <c r="N58" i="3"/>
  <c r="M58" i="3"/>
  <c r="M178" i="3"/>
  <c r="N178" i="3"/>
  <c r="L178" i="3"/>
  <c r="N122" i="3"/>
  <c r="M122" i="3"/>
  <c r="L122" i="3"/>
  <c r="M121" i="3"/>
  <c r="N121" i="3"/>
  <c r="L121" i="3"/>
  <c r="N274" i="3"/>
  <c r="L274" i="3"/>
  <c r="M274" i="3"/>
  <c r="N186" i="3"/>
  <c r="M186" i="3"/>
  <c r="L186" i="3"/>
  <c r="M49" i="3"/>
  <c r="N49" i="3"/>
  <c r="L49" i="3"/>
  <c r="M116" i="3"/>
  <c r="N116" i="3"/>
  <c r="L116" i="3"/>
  <c r="M281" i="3"/>
  <c r="N281" i="3"/>
  <c r="L281" i="3"/>
  <c r="M257" i="3"/>
  <c r="L257" i="3"/>
  <c r="N257" i="3"/>
  <c r="N194" i="3"/>
  <c r="M194" i="3"/>
  <c r="L194" i="3"/>
  <c r="M25" i="3"/>
  <c r="N25" i="3"/>
  <c r="L25" i="3"/>
  <c r="M165" i="3"/>
  <c r="L165" i="3"/>
  <c r="N165" i="3"/>
  <c r="L50" i="3"/>
  <c r="M50" i="3"/>
  <c r="N50" i="3"/>
  <c r="M14" i="3"/>
  <c r="L14" i="3"/>
  <c r="N14" i="3"/>
  <c r="M141" i="3"/>
  <c r="L141" i="3"/>
  <c r="N141" i="3"/>
  <c r="M189" i="3"/>
  <c r="N189" i="3"/>
  <c r="L189" i="3"/>
  <c r="M114" i="3"/>
  <c r="N114" i="3"/>
  <c r="L114" i="3"/>
  <c r="M166" i="3"/>
  <c r="N166" i="3"/>
  <c r="L166" i="3"/>
  <c r="M9" i="3"/>
  <c r="N9" i="3"/>
  <c r="L9" i="3"/>
  <c r="M65" i="3"/>
  <c r="L65" i="3"/>
  <c r="N65" i="3"/>
  <c r="M290" i="3"/>
  <c r="N290" i="3"/>
  <c r="L290" i="3"/>
  <c r="N130" i="3"/>
  <c r="M130" i="3"/>
  <c r="L130" i="3"/>
  <c r="M53" i="3"/>
  <c r="N53" i="3"/>
  <c r="L53" i="3"/>
  <c r="M146" i="3"/>
  <c r="N146" i="3"/>
  <c r="L146" i="3"/>
  <c r="M266" i="3"/>
  <c r="N266" i="3"/>
  <c r="L266" i="3"/>
  <c r="M81" i="3"/>
  <c r="N81" i="3"/>
  <c r="L81" i="3"/>
  <c r="M177" i="3"/>
  <c r="N177" i="3"/>
  <c r="L177" i="3"/>
  <c r="M193" i="3"/>
  <c r="L193" i="3"/>
  <c r="N193" i="3"/>
  <c r="M180" i="3"/>
  <c r="N180" i="3"/>
  <c r="L180" i="3"/>
  <c r="M153" i="3"/>
  <c r="N153" i="3"/>
  <c r="L153" i="3"/>
  <c r="L286" i="3"/>
  <c r="M286" i="3"/>
  <c r="N286" i="3"/>
  <c r="L206" i="3"/>
  <c r="M206" i="3"/>
  <c r="N206" i="3"/>
  <c r="M57" i="3"/>
  <c r="L57" i="3"/>
  <c r="N57" i="3"/>
  <c r="M298" i="3"/>
  <c r="N298" i="3"/>
  <c r="L298" i="3"/>
  <c r="M89" i="3"/>
  <c r="N89" i="3"/>
  <c r="L89" i="3"/>
  <c r="M33" i="3"/>
  <c r="L33" i="3"/>
  <c r="N33" i="3"/>
  <c r="M137" i="3"/>
  <c r="N137" i="3"/>
  <c r="L137" i="3"/>
  <c r="L142" i="3"/>
  <c r="M142" i="3"/>
  <c r="N142" i="3"/>
  <c r="M222" i="3"/>
  <c r="N222" i="3"/>
  <c r="L222" i="3"/>
  <c r="M73" i="3"/>
  <c r="N73" i="3"/>
  <c r="L73" i="3"/>
  <c r="M225" i="3"/>
  <c r="L225" i="3"/>
  <c r="N225" i="3"/>
  <c r="M13" i="3"/>
  <c r="N13" i="3"/>
  <c r="L13" i="3"/>
  <c r="N282" i="3"/>
  <c r="M282" i="3"/>
  <c r="L282" i="3"/>
  <c r="M93" i="3"/>
  <c r="N93" i="3"/>
  <c r="L93" i="3"/>
  <c r="M85" i="3"/>
  <c r="L85" i="3"/>
  <c r="N85" i="3"/>
  <c r="M248" i="3"/>
  <c r="N248" i="3"/>
  <c r="L248" i="3"/>
  <c r="M269" i="3"/>
  <c r="L269" i="3"/>
  <c r="N269" i="3"/>
  <c r="M210" i="3"/>
  <c r="N210" i="3"/>
  <c r="L210" i="3"/>
  <c r="M217" i="3"/>
  <c r="N217" i="3"/>
  <c r="L217" i="3"/>
  <c r="L56" i="3"/>
  <c r="M56" i="3"/>
  <c r="N56" i="3"/>
  <c r="M78" i="3"/>
  <c r="L78" i="3"/>
  <c r="N78" i="3"/>
  <c r="M107" i="3"/>
  <c r="N107" i="3"/>
  <c r="L107" i="3"/>
  <c r="L74" i="3"/>
  <c r="M74" i="3"/>
  <c r="N74" i="3"/>
  <c r="L66" i="3"/>
  <c r="N66" i="3"/>
  <c r="M66" i="3"/>
  <c r="M52" i="3"/>
  <c r="N52" i="3"/>
  <c r="L52" i="3"/>
  <c r="L34" i="3"/>
  <c r="N34" i="3"/>
  <c r="M34" i="3"/>
  <c r="M170" i="3"/>
  <c r="L170" i="3"/>
  <c r="N170" i="3"/>
  <c r="L82" i="3"/>
  <c r="M82" i="3"/>
  <c r="N82" i="3"/>
  <c r="M205" i="3"/>
  <c r="L205" i="3"/>
  <c r="N205" i="3"/>
  <c r="L18" i="3"/>
  <c r="M18" i="3"/>
  <c r="N18" i="3"/>
  <c r="M242" i="3"/>
  <c r="N242" i="3"/>
  <c r="L242" i="3"/>
  <c r="M134" i="3"/>
  <c r="N134" i="3"/>
  <c r="L134" i="3"/>
  <c r="N250" i="3"/>
  <c r="L250" i="3"/>
  <c r="M250" i="3"/>
  <c r="M41" i="3"/>
  <c r="N41" i="3"/>
  <c r="L41" i="3"/>
  <c r="M145" i="3"/>
  <c r="N145" i="3"/>
  <c r="L145" i="3"/>
  <c r="M241" i="3"/>
  <c r="N241" i="3"/>
  <c r="L241" i="3"/>
  <c r="M61" i="3"/>
  <c r="N61" i="3"/>
  <c r="L61" i="3"/>
  <c r="M237" i="3"/>
  <c r="L237" i="3"/>
  <c r="N237" i="3"/>
  <c r="M260" i="3"/>
  <c r="N260" i="3"/>
  <c r="L260" i="3"/>
  <c r="L42" i="3"/>
  <c r="M42" i="3"/>
  <c r="N42" i="3"/>
  <c r="M202" i="3"/>
  <c r="L202" i="3"/>
  <c r="N202" i="3"/>
  <c r="M129" i="3"/>
  <c r="L129" i="3"/>
  <c r="N129" i="3"/>
  <c r="L182" i="3"/>
  <c r="M182" i="3"/>
  <c r="N182" i="3"/>
  <c r="M77" i="3"/>
  <c r="L77" i="3"/>
  <c r="N77" i="3"/>
  <c r="M69" i="3"/>
  <c r="L69" i="3"/>
  <c r="N69" i="3"/>
  <c r="M126" i="3"/>
  <c r="N126" i="3"/>
  <c r="L126" i="3"/>
  <c r="M157" i="3"/>
  <c r="N157" i="3"/>
  <c r="L157" i="3"/>
  <c r="L10" i="3"/>
  <c r="M10" i="3"/>
  <c r="N10" i="3"/>
  <c r="M277" i="3"/>
  <c r="N277" i="3"/>
  <c r="L277" i="3"/>
  <c r="M198" i="3"/>
  <c r="N198" i="3"/>
  <c r="L198" i="3"/>
  <c r="M17" i="3"/>
  <c r="N17" i="3"/>
  <c r="L17" i="3"/>
  <c r="M297" i="3"/>
  <c r="N297" i="3"/>
  <c r="L297" i="3"/>
  <c r="M109" i="3"/>
  <c r="L109" i="3"/>
  <c r="N109" i="3"/>
  <c r="M94" i="3"/>
  <c r="N94" i="3"/>
  <c r="L94" i="3"/>
  <c r="L26" i="3"/>
  <c r="N26" i="3"/>
  <c r="M26" i="3"/>
  <c r="M149" i="3"/>
  <c r="L149" i="3"/>
  <c r="N149" i="3"/>
  <c r="N162" i="3"/>
  <c r="L162" i="3"/>
  <c r="M162" i="3"/>
  <c r="N218" i="3"/>
  <c r="M218" i="3"/>
  <c r="L218" i="3"/>
  <c r="M125" i="3"/>
  <c r="N125" i="3"/>
  <c r="L125" i="3"/>
  <c r="M138" i="3"/>
  <c r="L138" i="3"/>
  <c r="N138" i="3"/>
  <c r="M285" i="3"/>
  <c r="L285" i="3"/>
  <c r="N285" i="3"/>
  <c r="M45" i="3"/>
  <c r="L45" i="3"/>
  <c r="N45" i="3"/>
  <c r="M38" i="3"/>
  <c r="N38" i="3"/>
  <c r="L38" i="3"/>
  <c r="L86" i="3"/>
  <c r="N86" i="3"/>
  <c r="M86" i="3"/>
  <c r="M259" i="3"/>
  <c r="N259" i="3"/>
  <c r="L259" i="3"/>
  <c r="M106" i="3"/>
  <c r="L106" i="3"/>
  <c r="N106" i="3"/>
  <c r="M181" i="3"/>
  <c r="L181" i="3"/>
  <c r="N181" i="3"/>
  <c r="M190" i="3"/>
  <c r="N190" i="3"/>
  <c r="L190" i="3"/>
  <c r="L150" i="3"/>
  <c r="N150" i="3"/>
  <c r="M150" i="3"/>
  <c r="L246" i="3"/>
  <c r="M246" i="3"/>
  <c r="N246" i="3"/>
  <c r="N258" i="3"/>
  <c r="M258" i="3"/>
  <c r="L258" i="3"/>
  <c r="M273" i="3"/>
  <c r="L273" i="3"/>
  <c r="N273" i="3"/>
  <c r="M161" i="3"/>
  <c r="L161" i="3"/>
  <c r="N161" i="3"/>
  <c r="L30" i="3"/>
  <c r="M30" i="3"/>
  <c r="N30" i="3"/>
  <c r="M63" i="3"/>
  <c r="N63" i="3"/>
  <c r="L63" i="3"/>
  <c r="M221" i="3"/>
  <c r="N221" i="3"/>
  <c r="L221" i="3"/>
  <c r="N226" i="3"/>
  <c r="L226" i="3"/>
  <c r="M226" i="3"/>
  <c r="M261" i="3"/>
  <c r="L261" i="3"/>
  <c r="N261" i="3"/>
  <c r="L214" i="3"/>
  <c r="M214" i="3"/>
  <c r="N214" i="3"/>
  <c r="M270" i="3"/>
  <c r="N270" i="3"/>
  <c r="L270" i="3"/>
  <c r="M113" i="3"/>
  <c r="N113" i="3"/>
  <c r="L113" i="3"/>
  <c r="M265" i="3"/>
  <c r="N265" i="3"/>
  <c r="L265" i="3"/>
  <c r="L40" i="3"/>
  <c r="M40" i="3"/>
  <c r="N40" i="3"/>
  <c r="M253" i="3"/>
  <c r="N253" i="3"/>
  <c r="L253" i="3"/>
  <c r="M228" i="3"/>
  <c r="N228" i="3"/>
  <c r="L228" i="3"/>
  <c r="M54" i="3"/>
  <c r="N54" i="3"/>
  <c r="L54" i="3"/>
  <c r="L294" i="3"/>
  <c r="M294" i="3"/>
  <c r="N294" i="3"/>
  <c r="M229" i="3"/>
  <c r="L229" i="3"/>
  <c r="N229" i="3"/>
  <c r="L22" i="3"/>
  <c r="M22" i="3"/>
  <c r="N22" i="3"/>
  <c r="M29" i="3"/>
  <c r="N29" i="3"/>
  <c r="L29" i="3"/>
  <c r="M101" i="3"/>
  <c r="L101" i="3"/>
  <c r="N101" i="3"/>
  <c r="M62" i="3"/>
  <c r="N62" i="3"/>
  <c r="L62" i="3"/>
  <c r="L48" i="3"/>
  <c r="M48" i="3"/>
  <c r="N48" i="3"/>
  <c r="M252" i="3"/>
  <c r="N252" i="3"/>
  <c r="L252" i="3"/>
  <c r="M293" i="3"/>
  <c r="L293" i="3"/>
  <c r="N293" i="3"/>
  <c r="M44" i="3"/>
  <c r="N44" i="3"/>
  <c r="L44" i="3"/>
  <c r="N98" i="3"/>
  <c r="M98" i="3"/>
  <c r="L98" i="3"/>
  <c r="M234" i="3"/>
  <c r="N234" i="3"/>
  <c r="L234" i="3"/>
  <c r="L46" i="3"/>
  <c r="M46" i="3"/>
  <c r="N46" i="3"/>
  <c r="M117" i="3"/>
  <c r="L117" i="3"/>
  <c r="N117" i="3"/>
  <c r="L110" i="3"/>
  <c r="M110" i="3"/>
  <c r="N110" i="3"/>
  <c r="M197" i="3"/>
  <c r="L197" i="3"/>
  <c r="N197" i="3"/>
  <c r="M173" i="3"/>
  <c r="L173" i="3"/>
  <c r="N173" i="3"/>
  <c r="M102" i="3"/>
  <c r="N102" i="3"/>
  <c r="L102" i="3"/>
  <c r="N154" i="3"/>
  <c r="M154" i="3"/>
  <c r="L154" i="3"/>
  <c r="N90" i="3"/>
  <c r="L90" i="3"/>
  <c r="M90" i="3"/>
  <c r="M201" i="3"/>
  <c r="N201" i="3"/>
  <c r="L201" i="3"/>
  <c r="M254" i="3"/>
  <c r="N254" i="3"/>
  <c r="L254" i="3"/>
  <c r="M158" i="3"/>
  <c r="N158" i="3"/>
  <c r="L158" i="3"/>
  <c r="M97" i="3"/>
  <c r="L97" i="3"/>
  <c r="N97" i="3"/>
</calcChain>
</file>

<file path=xl/sharedStrings.xml><?xml version="1.0" encoding="utf-8"?>
<sst xmlns="http://schemas.openxmlformats.org/spreadsheetml/2006/main" count="1563" uniqueCount="583">
  <si>
    <t>CODIGO</t>
  </si>
  <si>
    <t>DESCRIPCION</t>
  </si>
  <si>
    <t>APLICACIÓN</t>
  </si>
  <si>
    <t>MARCA</t>
  </si>
  <si>
    <t>PRECIO</t>
  </si>
  <si>
    <t>DISPONIBLE</t>
  </si>
  <si>
    <t>COSTO LISTA 35% AVANTTI</t>
  </si>
  <si>
    <t xml:space="preserve">IVA </t>
  </si>
  <si>
    <t>COSTO LISTA AVANTTI</t>
  </si>
  <si>
    <t xml:space="preserve">Lista 10% Iva Incluido </t>
  </si>
  <si>
    <t xml:space="preserve">Lista 12% Iva Incluido </t>
  </si>
  <si>
    <t xml:space="preserve">Lista 15% Iva Incluido </t>
  </si>
  <si>
    <t xml:space="preserve">Lista 20% Iva Incluido </t>
  </si>
  <si>
    <t xml:space="preserve">Lista 25% Iva Incluido </t>
  </si>
  <si>
    <t>NEUMATICO 10 R22.5 14PR CR-950 W GOODRIDE / CHAOYANG</t>
  </si>
  <si>
    <t>DIR-ON</t>
  </si>
  <si>
    <t>GOODRIDE</t>
  </si>
  <si>
    <t>NEUMATICO 10.00 R20 149/146K TRANS MASTER EAM260</t>
  </si>
  <si>
    <t>MIXTO-ON/OFF</t>
  </si>
  <si>
    <t>WINDFORCE</t>
  </si>
  <si>
    <t>NEUMATICO 10.00 R20 16PR CR-926 GOODRIDE / CHAOYANG</t>
  </si>
  <si>
    <t>NEUMATICO 10.00 R20 16PR LL-D09</t>
  </si>
  <si>
    <t>TRAC-ON</t>
  </si>
  <si>
    <t>LING LONG</t>
  </si>
  <si>
    <t>NEUMATICO 10.00 R20 18PR CB-972 W GOODRIDE / CHAOYANG</t>
  </si>
  <si>
    <t>TRAC-OFF</t>
  </si>
  <si>
    <t>NEUMATICO 10.00 R20 18PR LLD09</t>
  </si>
  <si>
    <t>NEUMATICO 10.00 R20 18PR LLD10</t>
  </si>
  <si>
    <t>NEUMATICO 10.00 R20 18PR TR-691</t>
  </si>
  <si>
    <t>TRIANGLE</t>
  </si>
  <si>
    <t>NEUMATICO 10.00/20 16PR LL-47</t>
  </si>
  <si>
    <t>NEUMATICO 10.00/20 16PR TRACC. LL-59</t>
  </si>
  <si>
    <t>NEUMATICO 10.00/20 18PR TRACC. LL-77</t>
  </si>
  <si>
    <t>NEUMATICO 11 R22.5 146/13M GL662A SAMSON</t>
  </si>
  <si>
    <t>SAMSON</t>
  </si>
  <si>
    <t>NEUMATICO 11 R22.5 148/145 M TRANS MASTER EDL320</t>
  </si>
  <si>
    <t>NEUMATICO 11 R22.5 148/145 TRANS MASTER EAM260</t>
  </si>
  <si>
    <t>NEUMATICO 11 R22.5 148/145J PR18 TRANS MASTER EDM370 TRAC-OFF</t>
  </si>
  <si>
    <t>NEUMATICO 11 R22.5 148/145K TRANS MASTER EDM360</t>
  </si>
  <si>
    <t>TRAC-ON/OFF</t>
  </si>
  <si>
    <t>D321385</t>
  </si>
  <si>
    <t>NEUMATICO 11 R22.5 148K SP580A</t>
  </si>
  <si>
    <t>DUNLOP</t>
  </si>
  <si>
    <t>D331277</t>
  </si>
  <si>
    <t>NEUMATICO 11 R22.5 148M SP320 RF</t>
  </si>
  <si>
    <t>NEUMATICO 11 R22.5 149/146F SAP08 18/J</t>
  </si>
  <si>
    <t>WANLI</t>
  </si>
  <si>
    <t>NEUMATICO 11 R22.5 149/146L SDR800</t>
  </si>
  <si>
    <t>NEUMATICO 11 R22.5 16PR 148/145L KTT307 (HB)</t>
  </si>
  <si>
    <t>NEUMATICO 11 R22.5 16PR CB-972W GOODRIDE / CHAOYANG</t>
  </si>
  <si>
    <t>NEUMATICO 11 R22.5 16PR CR-926D GOODRIDE / CHAOYANG</t>
  </si>
  <si>
    <t>NEUMATICO 11 R22.5 16PR CR-960 W GOODRIDE / CHAOYANG</t>
  </si>
  <si>
    <t>NEUMATICO 11 R22.5 16PR GL-909A (5 CINT)</t>
  </si>
  <si>
    <t>NEUMATICO 11 R22.5 16PR HF638</t>
  </si>
  <si>
    <t>FESITE</t>
  </si>
  <si>
    <t>NEUMATICO 11 R22.5 16PR HF702</t>
  </si>
  <si>
    <t>NEUMATICO 11 R22.5 16PR LFL185 146/143L LL CCC</t>
  </si>
  <si>
    <t>NEUMATICO 11 R22.5 16PR MD-738 W GOODRIDE / CHAOYANG</t>
  </si>
  <si>
    <t>NEUMATICO 11 R22.5 16PR TR-666</t>
  </si>
  <si>
    <t>NEUMATICO 11 R22.5 16PR TR-668 M+S</t>
  </si>
  <si>
    <t>NEUMATICO 11 R22.5 16PR TR-686</t>
  </si>
  <si>
    <t>NEUMATICO 11 R22.5 16PR TR-688 M+S</t>
  </si>
  <si>
    <t>NEUMATICO 11 R22.5 16PR TR-691E</t>
  </si>
  <si>
    <t>NEUMATICO 11 R22.5 16PR TRA01 M+S</t>
  </si>
  <si>
    <t>NEUMATICO 11 R22.5 16PR WD-2000</t>
  </si>
  <si>
    <t>NEUMATICO 11 R22.5 16PR WD-2020 M+S WINDFORCE</t>
  </si>
  <si>
    <t>NEUMATICO 11 R22.5 16PR WD2060</t>
  </si>
  <si>
    <t>M110830</t>
  </si>
  <si>
    <t>NEUMATICO 11 R22.5 16PR XDY3 TL 148/145K (DS)</t>
  </si>
  <si>
    <t>MICHELIN</t>
  </si>
  <si>
    <t>NEUMATICO 11 R22.5 18 PR 149/146L SAM01</t>
  </si>
  <si>
    <t>NEUMATICO 11 R22.5 18/J SFR03</t>
  </si>
  <si>
    <t>NEUMATICO 11 R22.5 18PR 148/145 M GRT901</t>
  </si>
  <si>
    <t>TRACMAX</t>
  </si>
  <si>
    <t>NEUMATICO 11 R22.5 18PR 148/145M GRT770 (XDY)</t>
  </si>
  <si>
    <t>NEUMATICO 11 R22.5 18PR 148/145M GRT800</t>
  </si>
  <si>
    <t>NEUMATICO 11 R22.5 18PR 148/145M GRT880</t>
  </si>
  <si>
    <t>NEUMATICO 11 R22.5 18PR 148/145M WD2060</t>
  </si>
  <si>
    <t>NEUMATICO 11 R22.5 18PR HO601XS</t>
  </si>
  <si>
    <t>ONYX</t>
  </si>
  <si>
    <t>NEUMATICO 11 R22.5 18PR KT865</t>
  </si>
  <si>
    <t>KUNLUN</t>
  </si>
  <si>
    <t>B13660200</t>
  </si>
  <si>
    <t>NEUMATICO 11 R22.5 M840 PR16</t>
  </si>
  <si>
    <t>BRIDGESTONE</t>
  </si>
  <si>
    <t>NEUMATICO 11 R22.5 TL 148/145K TG:01</t>
  </si>
  <si>
    <t>PIRELLI</t>
  </si>
  <si>
    <t>M256387</t>
  </si>
  <si>
    <t>NEUMATICO 11 R22.5 X MULTI D+ 148/145L</t>
  </si>
  <si>
    <t>M814293</t>
  </si>
  <si>
    <t>NEUMATICO 11 R22.5 X WORKS Z TL LRH VG</t>
  </si>
  <si>
    <t>NEUMATICO 11 R22.5-18PR 149/146M DA262</t>
  </si>
  <si>
    <t>DOVROAD</t>
  </si>
  <si>
    <t>NEUMATICO 11 R24.5 16PR LL-A08</t>
  </si>
  <si>
    <t>NEUMATICO 11 R24.5 16PR LL-D37</t>
  </si>
  <si>
    <t>NEUMATICO 11.00 R20 152/149K STR01 18/J (TTF)</t>
  </si>
  <si>
    <t>NEUMATICO 11.00 R20 18 PR TR668</t>
  </si>
  <si>
    <t>NEUMATICO 11.00 R20 18PR CM-913T GOODRIDE / CHAOYANG</t>
  </si>
  <si>
    <t>NEUMATICO 11.00 R20 18PR KMA400</t>
  </si>
  <si>
    <t>NEUMATICO 11.00 R22 16PR F-860</t>
  </si>
  <si>
    <t>NEUMATICO 11.00/20 16PR LL-47</t>
  </si>
  <si>
    <t>NEUMATICO 11.00/20 16PR LL-59</t>
  </si>
  <si>
    <t>NEUMATICO 11.00/20 18PR LL-4</t>
  </si>
  <si>
    <t>NEUMATICO 12 R22.5 152/149L SAR562 18/J</t>
  </si>
  <si>
    <t>NEUMATICO 12 R22.5 152/149L TRANS MASTER EAM260</t>
  </si>
  <si>
    <t>NEUMATICO 12 R22.5 16PR CB-972W GOODRIDE / CHAOYANG</t>
  </si>
  <si>
    <t>NEUMATICO 12 R22.5 16PR D-905</t>
  </si>
  <si>
    <t>NEUMATICO 12 R22.5 16PR LL-F02</t>
  </si>
  <si>
    <t>D283061</t>
  </si>
  <si>
    <t>NEUMATICO 12 R22.5 16PR SP931</t>
  </si>
  <si>
    <t>NEUMATICO 12 R22.5 16PR TR-688 M+S</t>
  </si>
  <si>
    <t>NEUMATICO 12 R22.5 18PR 152/149K TR663</t>
  </si>
  <si>
    <t>NEUMATICO 12 R22.5 18PR LDL186 152/149L LL CCC</t>
  </si>
  <si>
    <t>NEUMATICO 12 R22.5 18PR LFL 185 152/149L LL CCC RE</t>
  </si>
  <si>
    <t>NEUMATICO 12 R22.5 18PR MD-738 GOODRIDE / CHAOYANG</t>
  </si>
  <si>
    <t>NEUMATICO 12 R22.5 18PR TR-668</t>
  </si>
  <si>
    <t>NEUMATICO 12 R22.5 18PR TR918</t>
  </si>
  <si>
    <t>NEUMATICO 12 R22.5 18PR WA1060 M+S</t>
  </si>
  <si>
    <t>B11450400</t>
  </si>
  <si>
    <t>NEUMATICO 12 R22.5 L317 PR16 TU</t>
  </si>
  <si>
    <t>NEUMATICO 12 R22.5 SP320</t>
  </si>
  <si>
    <t>NEUMATICO 12 R22.5 SP571</t>
  </si>
  <si>
    <t>NEUMATICO 12 R22.5 SP835</t>
  </si>
  <si>
    <t>M750048</t>
  </si>
  <si>
    <t>NEUMATICO 12 R22.5 X WORKS XDY</t>
  </si>
  <si>
    <t>NEUMATICO 12.00 R20 18PR CB-972 GOODRIDE / CHAOYANG</t>
  </si>
  <si>
    <t>NEUMATICO 12.00 R20 18PR CR-926 W GOODRIDE / CHAOYANG</t>
  </si>
  <si>
    <t>NEUMATICO 12.00 R20 18PR HO 301 154/149 K</t>
  </si>
  <si>
    <t>NEUMATICO 12.00 R20 18PR TR-912</t>
  </si>
  <si>
    <t>NEUMATICO 12.00 R20 20PR 156/153K TRANS MASTER EAM260</t>
  </si>
  <si>
    <t>NEUMATICO 12.00 R20 20PR WD2088 (CB972)</t>
  </si>
  <si>
    <t>NEUMATICO 12.00 R24 164/161F TRANS MASTER EDM 370</t>
  </si>
  <si>
    <t>NEUMATICO 12.00 R24 164/161F TRANS MASTER EDM370</t>
  </si>
  <si>
    <t>NEUMATICO 12.00 R24 18PR CB-972(25MM) GOODRIDE/CHAOYANG</t>
  </si>
  <si>
    <t>NEUMATICO 12.00 R24 18PR CB-972E (32MM) GOOD/CHAOYANG</t>
  </si>
  <si>
    <t>NEUMATICO 12.00 R24 18PR CR-926B GOODRIDE / CHAOYANG</t>
  </si>
  <si>
    <t>NEUMATICO 12.00 R24 20PR 160/157G WD2088</t>
  </si>
  <si>
    <t>NEUMATICO 12.00 R24 20PR CB-972E (32MM) GOOD/CHAOYANG</t>
  </si>
  <si>
    <t>NEUMATICO 12.00 R24 20PR HO 301 160/157 K</t>
  </si>
  <si>
    <t>NEUMATICO 12.00 R24 22PR 162/158B LL (HB) LDO986+</t>
  </si>
  <si>
    <t>NEUMATICO 12.00 R24 24PR 164/161F TRANS MASTER EDM370</t>
  </si>
  <si>
    <t>NEUMATICO 12.00 R24 24PR GL909A TL/TTÂ 164/160GÂ (32MM)</t>
  </si>
  <si>
    <t>NEUMATICO 12.00 R24 D331 160/157K 20/L (TTF)</t>
  </si>
  <si>
    <t>M144304</t>
  </si>
  <si>
    <t>NEUMATICO 12.00 R24 XDL LRJ</t>
  </si>
  <si>
    <t>NEUMATICO 13 R22.5 156/151F TRANS MASTER EDM370</t>
  </si>
  <si>
    <t>NEUMATICO 13 R22.5 18PR CM-923 W GOODRIDE / CHAOYANG</t>
  </si>
  <si>
    <t>NEUMATICO 13 R22.5 18PR D-960</t>
  </si>
  <si>
    <t>NEUMATICO 13 R22.5 18PR LL-A01</t>
  </si>
  <si>
    <t>NEUMATICO 13 R22.5 18PR LL-D10</t>
  </si>
  <si>
    <t>NEUMATICO 13 R22.5 18PR TR-668</t>
  </si>
  <si>
    <t>NEUMATICO 13 R22.5 20PR 156/153F LLD10</t>
  </si>
  <si>
    <t>B11474200</t>
  </si>
  <si>
    <t>NEUMATICO 13 R22.5 PR18 150/154K TL DIR ON OFF BRIDGESTONE M840</t>
  </si>
  <si>
    <t>NEUMATICO 13 R22.5 PR18 156/153F LING LONG LLD10 TRAC OFF</t>
  </si>
  <si>
    <t>LING LONG TBR</t>
  </si>
  <si>
    <t>NEUMATICO 205/75 R17.5 14PR CM986W CHAOYANG TL</t>
  </si>
  <si>
    <t>NEUMATICO 205/75 R17.5 14PR CR960AW CHAOYANG TL</t>
  </si>
  <si>
    <t>NEUMATICO 205/85 R16 12PR ST313 117/115L GOODRIDE TL</t>
  </si>
  <si>
    <t>P2459000</t>
  </si>
  <si>
    <t>NEUMATICO 215/75 R17.5 12PR 126/124 MM+S MC:01-BR</t>
  </si>
  <si>
    <t>NEUMATICO 215/75 R17.5 -16 HO102</t>
  </si>
  <si>
    <t>NEUMATICO 215/75 R17.5 16H SAH01</t>
  </si>
  <si>
    <t>NEUMATICO 215/75 R17.5 16PR 135/133J LFL866LL ECE</t>
  </si>
  <si>
    <t>NEUMATICO 215/75 R17.5 16PR MD738W CHAOYANG TL</t>
  </si>
  <si>
    <t>CHAOYANG</t>
  </si>
  <si>
    <t>NEUMATICO 215/75 R17.5 16PR TR-685</t>
  </si>
  <si>
    <t>NEUMATICO 215/75 R17.5 16PR TR-689A M+S</t>
  </si>
  <si>
    <t>NEUMATICO 215/75 R17.5 18PR 136/134J TR-685</t>
  </si>
  <si>
    <t>P138365</t>
  </si>
  <si>
    <t>NEUMATICO 215/75 R17.5 ARMOR MAX MSS 126/124 K F</t>
  </si>
  <si>
    <t>GOODYEAR</t>
  </si>
  <si>
    <t>B19823200</t>
  </si>
  <si>
    <t>NEUMATICO 215/75 R17.5 R184 PR12</t>
  </si>
  <si>
    <t>M820935</t>
  </si>
  <si>
    <t>NEUMATICO 215/75 R17.5 X MULTI T2 TL 136/134J VM MICHEL</t>
  </si>
  <si>
    <t>CARRO</t>
  </si>
  <si>
    <t>NEUMATICO 215/85 R16 12PR CM938 CHAOYANG TL</t>
  </si>
  <si>
    <t>NEUMATICO 225/70 R19.5 14PR TR685</t>
  </si>
  <si>
    <t>NEUMATICO 225/70 R19.5 14PR WH-1020</t>
  </si>
  <si>
    <t>NEUMATICO 235/75 R17.5 143/141 TRANS MASTER GDR310</t>
  </si>
  <si>
    <t>NEUMATICO 235/75 R17.5 143/141M TRANS MASTER GSR210</t>
  </si>
  <si>
    <t>NEUMATICO 235/75 R17.5 16PR MD738W CHAOYANG TL</t>
  </si>
  <si>
    <t>NEUMATICO 235/75 R17.5 16PR TR 685 M+S</t>
  </si>
  <si>
    <t>NEUMATICO 235/75 R17.5 16PR TR-689A M+S</t>
  </si>
  <si>
    <t>NEUMATICO 235/75 R17.5 16PR WD2020 M+S</t>
  </si>
  <si>
    <t>NEUMATICO 235/75 R17.5 18PR D-905 M+S</t>
  </si>
  <si>
    <t>NEUMATICO 235/75 R17.5 18PR LL-A78</t>
  </si>
  <si>
    <t>NEUMATICO 235/75 R17.5 18PR TR685</t>
  </si>
  <si>
    <t>NEUMATICO 235/75 R17.5 18PR TR689A</t>
  </si>
  <si>
    <t>B10586200</t>
  </si>
  <si>
    <t>NEUMATICO 235/75 R17.5 R184 PR18</t>
  </si>
  <si>
    <t>NEUMATICO 245/70 R17.5 16PR CR-960A W CHAOYANG</t>
  </si>
  <si>
    <t>P183351</t>
  </si>
  <si>
    <t>NEUMATICO 255/70 R22.5 140/137M (140/140L) R294</t>
  </si>
  <si>
    <t>NEUMATICO 255/70 R22.5 16PR F-820</t>
  </si>
  <si>
    <t>NEUMATICO 255/70 R22.5 16PR HO102</t>
  </si>
  <si>
    <t>NEUMATICO 255/70 R22.5 16PR TR-656</t>
  </si>
  <si>
    <t>NEUMATICO 265/70 R19.5 18PR TR-675</t>
  </si>
  <si>
    <t>P2075700</t>
  </si>
  <si>
    <t>NEUMATICO 275/45 R22 112V XK SCORPION ZERO ASIM</t>
  </si>
  <si>
    <t>NEUMATICO 275/70 R22.5 16PR 148/145M WH1020</t>
  </si>
  <si>
    <t>NEUMATICO 275/70 R22.5 16PR CR-976A W CHAOYANG</t>
  </si>
  <si>
    <t>NEUMATICO 275/70 R22.5 16PR F820</t>
  </si>
  <si>
    <t>P183363</t>
  </si>
  <si>
    <t>NEUMATICO 275/70 R22.5 R294 148/145 M</t>
  </si>
  <si>
    <t>P183373</t>
  </si>
  <si>
    <t>NEUMATICO 275/80 R22.5 149/146K M842</t>
  </si>
  <si>
    <t>NEUMATICO 275/80 R22.5 149/146M SFR01</t>
  </si>
  <si>
    <t>P2922700</t>
  </si>
  <si>
    <t>NEUMATICO 275/80 R22.5 16PR 149/146MM+S TR88-BR</t>
  </si>
  <si>
    <t>NEUMATICO 275/80 R22.5 16PR GL-283A ADVANCE</t>
  </si>
  <si>
    <t>NEUMATICO 275/80 R22.5 16PR TR-666</t>
  </si>
  <si>
    <t>NEUMATICO 275/80 R22.5 16PR TR-667</t>
  </si>
  <si>
    <t>P2191600</t>
  </si>
  <si>
    <t>NEUMATICO 275/80 R22.5 TL 149/146 LM+S TG:01</t>
  </si>
  <si>
    <t>NEUMATICO 285/70 R19.5 16PR F-820</t>
  </si>
  <si>
    <t>NEUMATICO 285/75 R24.5 16PR F-816</t>
  </si>
  <si>
    <t>P3965200</t>
  </si>
  <si>
    <t>NEUMATICO 285/90 R22 110V XL SZ ROAS (NC0)</t>
  </si>
  <si>
    <t>NEUMATICO 295/60 R22.5 18PR TR-680</t>
  </si>
  <si>
    <t>NEUMATICO 295/75 R22.5 16PR WD-2000</t>
  </si>
  <si>
    <t>NEUMATICO 295/75 R22.5 16PR WH-1000</t>
  </si>
  <si>
    <t>NEUMATICO 295/75 R22.5 16PR WH-1020</t>
  </si>
  <si>
    <t>NEUMATICO 295/80 R22.5 152/148M 18PR GRT880</t>
  </si>
  <si>
    <t>NEUMATICO 295/80 R22.5 152/148M GRT800</t>
  </si>
  <si>
    <t>B19820400P</t>
  </si>
  <si>
    <t>NEUMATICO 295/80 R22.5 152/148M V-STEEL RIB R156 (PRUEBA)</t>
  </si>
  <si>
    <t>NEUMATICO 295/80 R22.5 152/149J TRANS MASTER EDM370</t>
  </si>
  <si>
    <t>NEUMATICO 295/80 R22.5 152/149K TRANS MASTER EDM360</t>
  </si>
  <si>
    <t>M389451</t>
  </si>
  <si>
    <t>NEUMATICO 295/80 R22.5 152/149L 16PR XMULTID2</t>
  </si>
  <si>
    <t>NEUMATICO 295/80 R22.5 152/149L TRANS MASTER EDL320</t>
  </si>
  <si>
    <t xml:space="preserve">TRAC-ON </t>
  </si>
  <si>
    <t>NEUMATICO 295/80 R22.5 152/149M TRANS MASTER EAM260 PR18</t>
  </si>
  <si>
    <t>NEUMATICO 295/80 R22.5 152/149M TRANS MASTER ESL220</t>
  </si>
  <si>
    <t>NEUMATICO 295/80 R22.5 152M SP431A</t>
  </si>
  <si>
    <t>NEUMATICO 295/80 R22.5 16PR LL-F02</t>
  </si>
  <si>
    <t>NEUMATICO 295/80 R22.5 16PR TR601H</t>
  </si>
  <si>
    <t>NEUMATICO 295/80 R22.5 16PR TR-668</t>
  </si>
  <si>
    <t>NEUMATICO 295/80 R22.5 16PR TR-688 M+S</t>
  </si>
  <si>
    <t>NEUMATICO 295/80 R22.5 16PR TR-691</t>
  </si>
  <si>
    <t>NEUMATICO 295/80 R22.5 16PR TRD06 M+S</t>
  </si>
  <si>
    <t>NEUMATICO 295/80 R22.5 18 GL665A</t>
  </si>
  <si>
    <t>NEUMATICO 295/80 R22.5 18PR 152/148M 755</t>
  </si>
  <si>
    <t>AMBERSTONE</t>
  </si>
  <si>
    <t>NEUMATICO 295/80 R22.5 18PR 152/149 DA262</t>
  </si>
  <si>
    <t>NEUMATICO 295/80 R22.5 18PR 152/149M FA656 (NEW)</t>
  </si>
  <si>
    <t>FRIDERIC</t>
  </si>
  <si>
    <t>NEUMATICO 295/80 R22.5 18PR AT161W GOLDENCROWN</t>
  </si>
  <si>
    <t>GOLDENCROWN</t>
  </si>
  <si>
    <t>NEUMATICO 295/80 R22.5 18PR AZ126TW GOLDENCROWN</t>
  </si>
  <si>
    <t>NEUMATICO 295/80 R22.5 18PR CM997 CHAOYANG TL</t>
  </si>
  <si>
    <t>NEUMATICO 295/80 R22.5 18PR F-860 152/149M TL LL HB</t>
  </si>
  <si>
    <t>NEUMATICO 295/80 R22.5 18PR HF660</t>
  </si>
  <si>
    <t>NEUMATICO 295/80 R22.5 18PR HO 368 152/149 M</t>
  </si>
  <si>
    <t>NEUMATICO 295/80 R22.5 18PR HO602xs</t>
  </si>
  <si>
    <t>NEUMATICO 295/80 R22.5 18PR HO605xs M+S</t>
  </si>
  <si>
    <t>NEUMATICO 295/80 R22.5 18PR LAU 802 152/149J LL HB M+S</t>
  </si>
  <si>
    <t>NEUMATICO 295/80 R22.5 18PR MD-738 M+S GOOD / CHAOYANG</t>
  </si>
  <si>
    <t>NEUMATICO 295/80 R22.5 18PR TR668</t>
  </si>
  <si>
    <t>NEUMATICO 295/80 R22.5 18PR TR686</t>
  </si>
  <si>
    <t>NEUMATICO 295/80 R22.5 18PR TR688</t>
  </si>
  <si>
    <t>NEUMATICO 295/80 R22.5 18PR TR918</t>
  </si>
  <si>
    <t>NEUMATICO 295/80 R22.5 18PR TRA01</t>
  </si>
  <si>
    <t>NEUMATICO 295/80 R22.5 18PR TRD09 M+S</t>
  </si>
  <si>
    <t>NEUMATICO 295/80 R22.5 20PR 152/149L LDL186</t>
  </si>
  <si>
    <t>NEUMATICO 295/80 R22.5 20PR 152/149M TR663</t>
  </si>
  <si>
    <t>P2672400</t>
  </si>
  <si>
    <t>NEUMATICO 295/80 R22.5 5152/148 LM+S PLUS FG:01</t>
  </si>
  <si>
    <t>NEUMATICO 295/80 R22.5 AVENTUS WH200</t>
  </si>
  <si>
    <t>AVENTUS</t>
  </si>
  <si>
    <t>P138353</t>
  </si>
  <si>
    <t>NEUMATICO 295/80 R22.5 CHD3 16PE 154/148M</t>
  </si>
  <si>
    <t>CONTINENTAL</t>
  </si>
  <si>
    <t>B17579400</t>
  </si>
  <si>
    <t>NEUMATICO 295/80 R22.5 FD600 PR16</t>
  </si>
  <si>
    <t>FIRESTONE</t>
  </si>
  <si>
    <t>B16744002</t>
  </si>
  <si>
    <t>NEUMATICO 295/80 R22.5 FS440Z PR16</t>
  </si>
  <si>
    <t>B11477400</t>
  </si>
  <si>
    <t>NEUMATICO 295/80 R22.5 M840 PR16</t>
  </si>
  <si>
    <t>M984780</t>
  </si>
  <si>
    <t>NEUMATICO 295/80 R22.5 MULTI Z2 TL</t>
  </si>
  <si>
    <t>B22741002</t>
  </si>
  <si>
    <t>NEUMATICO 295/80 R22.5 PR16 152/148M BRIDGESTONE M765 TRAC ON</t>
  </si>
  <si>
    <t>NEUMATICO 295/80 R22.5 PR18 152/149L DOVROAD DD662 TRAC ON-OFF</t>
  </si>
  <si>
    <t>NEUMATICO 295/80 R22.5 PR18 152/149L DOVROAD DF182 DIREC ON</t>
  </si>
  <si>
    <t>NEUMATICO 295/80 R22.5 PR20 152/149J TRIANGLE TR918 TRAC ON-OFF</t>
  </si>
  <si>
    <t>NEUMATICO 295/80 R22.5 SP320</t>
  </si>
  <si>
    <t>M360425</t>
  </si>
  <si>
    <t>NEUMATICO 295/80 R22.5 X WORKS Z TL 152/148K</t>
  </si>
  <si>
    <t>NEUMATICO 295/80 R22.5-16 GL665A TL SAMSON EN</t>
  </si>
  <si>
    <t>NEUMATICO 315/70 R22.5 20 PR 154/150M WD2020</t>
  </si>
  <si>
    <t>NEUMATICO 315/80 R22.5 156/153L D385 20/L DIAMOND</t>
  </si>
  <si>
    <t>NEUMATICO 315/80 R22.5 156K SP571 RF</t>
  </si>
  <si>
    <t>NEUMATICO 315/80 R22.5 156L SP320S RF</t>
  </si>
  <si>
    <t>NEUMATICO 315/80 R22.5 157/154K TRANS MASTER ESL220</t>
  </si>
  <si>
    <t>NEUMATICO 315/80 R22.5 18PR 154/151M LLF06</t>
  </si>
  <si>
    <t>NEUMATICO 315/80 R22.5 18PR CR976AW CHAOYANG TL</t>
  </si>
  <si>
    <t>NEUMATICO 315/80 R22.5 18PR GL-282A</t>
  </si>
  <si>
    <t>NEUMATICO 315/80 R22.5 18PR TR601H</t>
  </si>
  <si>
    <t>NEUMATICO 315/80 R22.5 20PR 157/154M TR663</t>
  </si>
  <si>
    <t>TRIANGLE TBR</t>
  </si>
  <si>
    <t>NEUMATICO 315/80 R22.5 20PR D-960</t>
  </si>
  <si>
    <t>NEUMATICO 315/80 R22.5 20PR LFL185 156/150L LL ECE AF</t>
  </si>
  <si>
    <t>NEUMATICO 315/80 R22.5 20PR LLD01</t>
  </si>
  <si>
    <t>NEUMATICO 315/80 R22.5 20PR LL-F02</t>
  </si>
  <si>
    <t>M139619</t>
  </si>
  <si>
    <t>NEUMATICO 315/80 R22.5 COACH TRO Z 156/151MVK</t>
  </si>
  <si>
    <t>B10759200</t>
  </si>
  <si>
    <t>NEUMATICO 315/80 R22.5 R152 PR18</t>
  </si>
  <si>
    <t>B10759200P</t>
  </si>
  <si>
    <t>NEUMATICO 315/80 R22.5 R152 PR18 (PRUEBA)</t>
  </si>
  <si>
    <t>M558012</t>
  </si>
  <si>
    <t>NEUMATICO 315/80 R22.5 XDE2+</t>
  </si>
  <si>
    <t>M485710</t>
  </si>
  <si>
    <t>NEUMATICO 315/80 R22.5 XMZ156/150LVM</t>
  </si>
  <si>
    <t>P183381</t>
  </si>
  <si>
    <t>NEUMATICO 325/95 R24 162/160K V-STEEL MIX M840EZ TL</t>
  </si>
  <si>
    <t>NEUMATICO 325/95 R24 22PR 162/160F TR691-JS 32MM TUBELESS</t>
  </si>
  <si>
    <t>M132299</t>
  </si>
  <si>
    <t>NEUMATICO 325/95 R24 D2 162/160KVG MICHELIN</t>
  </si>
  <si>
    <t>P183383</t>
  </si>
  <si>
    <t>NEUMATICO 325/95R24 L317 162/160G 18PR JP</t>
  </si>
  <si>
    <t>NEUMATICO 385/65 R22.5 18PR CR976AE CHAOYANG</t>
  </si>
  <si>
    <t>NEUMATICO 385/65 R22.5 20PR AT-557 GOODRIDE / CHAOYANG</t>
  </si>
  <si>
    <t>NEUMATICO 385/65 R22.5 20PR TR-697</t>
  </si>
  <si>
    <t>B11468200</t>
  </si>
  <si>
    <t>NEUMATICO 385/65 R22.5 PR18 160K BRIDGESTONE M748 DIR ON-OFF</t>
  </si>
  <si>
    <t>NEUMATICO 6.50/16 12PR LL-11</t>
  </si>
  <si>
    <t>NEUMATICO 6.50-16 10PR LL11</t>
  </si>
  <si>
    <t>NEUMATICO 6.50-16 10PR LL15</t>
  </si>
  <si>
    <t>NEUMATICO 6.50-16-10PR LL11 ECE EX</t>
  </si>
  <si>
    <t>NEUMATICO 7.00 R15 10PR ST313 110/106N GOODRIDE&amp;SET</t>
  </si>
  <si>
    <t>NEUMATICO 7.00 R15 10PR ST-313 TUBULAR</t>
  </si>
  <si>
    <t>NEUMATICO 7.00 R16 118/114K SAP700</t>
  </si>
  <si>
    <t>NEUMATICO 7.00 R16 118/114L TRANS MASTER EAM260</t>
  </si>
  <si>
    <t>NEUMATICO 7.00 R16 12PR 117/116N ST313 GOODRIDE&amp;SET</t>
  </si>
  <si>
    <t>NEUMATICO 7.00 R16 12PR F-830 SET</t>
  </si>
  <si>
    <t>NEUMATICO 7.00 R16 12PR ST313 117/116N GOODRIDE TL</t>
  </si>
  <si>
    <t>NEUMATICO 7.00 R16 14PR 118/114L WA1060</t>
  </si>
  <si>
    <t>NEUMATICO 7.00 R16 14PR CR-926</t>
  </si>
  <si>
    <t>NEUMATICO 7.00 R16 14PR F830 SET</t>
  </si>
  <si>
    <t>NEUMATICO 7.00 R16 14PR LL-A08</t>
  </si>
  <si>
    <t>NEUMATICO 7.00 R16 14PR TR-558 SET</t>
  </si>
  <si>
    <t>NEUMATICO 7.00 R16 14PR TR-668</t>
  </si>
  <si>
    <t>NEUMATICO 7.00 R16 14PR TR-690</t>
  </si>
  <si>
    <t>M861268</t>
  </si>
  <si>
    <t>NEUMATICO 7.00 R16 LT117/116NT</t>
  </si>
  <si>
    <t>NEUMATICO 7.00/15 10PR CL-839A</t>
  </si>
  <si>
    <t>NEUMATICO 7.00/15 10PR LL-11</t>
  </si>
  <si>
    <t>NEUMATICO 7.00/16 12PR CR-892</t>
  </si>
  <si>
    <t>NEUMATICO 7.00-15LT 12PR LL11 LL ECE</t>
  </si>
  <si>
    <t>NEUMATICO 7.00-16-14 CL839A GOODRIDE &amp; SET</t>
  </si>
  <si>
    <t>M110164</t>
  </si>
  <si>
    <t>NEUMATICO 7.50 R15 16PR XTA</t>
  </si>
  <si>
    <t>NEUMATICO 7.50 R16 122/118L TRANS MASTER EAM260 (CAMARA Y CUBRE)</t>
  </si>
  <si>
    <t>NEUMATICO 7.50 R16 14PR CR-926 SET</t>
  </si>
  <si>
    <t>NEUMATICO 7.50 R16 14PR CR-960A</t>
  </si>
  <si>
    <t>NEUMATICO 7.50 R16 14PR HO301 SET</t>
  </si>
  <si>
    <t>NEUMATICO 7.50 R16 14PR LL-D09</t>
  </si>
  <si>
    <t>NEUMATICO 7.50 R16 14PR LL-F26</t>
  </si>
  <si>
    <t>NEUMATICO 7.50 R16 14PR TR-624</t>
  </si>
  <si>
    <t>NEUMATICO 7.50 R16 14PR TR-668 M+S SET</t>
  </si>
  <si>
    <t>NEUMATICO 7.50 R16 22/118K SAP700</t>
  </si>
  <si>
    <t>NEUMATICO 7.50 R20 14PR TR-666</t>
  </si>
  <si>
    <t>NEUMATICO 7.50/16 14PR CR-892</t>
  </si>
  <si>
    <t>NEUMATICO 7.50/16 14PR LL-15</t>
  </si>
  <si>
    <t>NEUMATICO 7.50/16 14PR LL-62 SET</t>
  </si>
  <si>
    <t>NEUMATICO 7.50/16 14PR LL-9 SET</t>
  </si>
  <si>
    <t>NEUMATICO 8.25 R15 18PR CM-958 GOODRIDE / CHAOYANG</t>
  </si>
  <si>
    <t>NEUMATICO 8.25 R15 18PR TR-693</t>
  </si>
  <si>
    <t>M110130</t>
  </si>
  <si>
    <t>NEUMATICO 8.25 R15 XTA</t>
  </si>
  <si>
    <t>NEUMATICO 8.25 R16 128/124K WA1060</t>
  </si>
  <si>
    <t>NEUMATICO 8.25 R16 14PR LL-A08</t>
  </si>
  <si>
    <t>NEUMATICO 8.25 R16 14PR TR-668</t>
  </si>
  <si>
    <t>NEUMATICO 8.25 R20 14PR LL-A08</t>
  </si>
  <si>
    <t>NEUMATICO 8.25 R20 16PR 139/137L LLA08 SET</t>
  </si>
  <si>
    <t>NEUMATICO 8.25 R20 16PR TR-668 SET</t>
  </si>
  <si>
    <t>NEUMATICO 8.5 R17.5 12PR TR-656 *</t>
  </si>
  <si>
    <t>NEUMATICO 9.00 R20 16PR CR-976A W GOODRIDE / CHAOYANG</t>
  </si>
  <si>
    <t>NEUMATICO 9.00 R20 16PR HO 301 144/142 K</t>
  </si>
  <si>
    <t>NEUMATICO 9.00 R20 16PR WA1060</t>
  </si>
  <si>
    <t>NEUMATICO 9.00/20 14PR LL-47</t>
  </si>
  <si>
    <t>NEUMATICO 9.00/20 14PR LL-59</t>
  </si>
  <si>
    <t>ZNEUM.11.00 R20 16PR AL-800</t>
  </si>
  <si>
    <t>GRUPO FAMILIA</t>
  </si>
  <si>
    <t>NEUMATICO 10.0/75-15.3 14PR I1A</t>
  </si>
  <si>
    <t>NEUMATICO AGRICOLA</t>
  </si>
  <si>
    <t>NEUMATICO 10.00/15 14PR LL-65 (INDUSTRIAL)</t>
  </si>
  <si>
    <t>NEUMATICO INDUSTRIAL</t>
  </si>
  <si>
    <t>NEUMATICO 10.00/20 18PR CL626TT</t>
  </si>
  <si>
    <t>NEUMATICO GRUA HORQUILLA</t>
  </si>
  <si>
    <t>NEUMATICO 10.00/20 20PR OB502 SET (ADVANCE)</t>
  </si>
  <si>
    <t>NEUMATICO 10.00/20 RIM 8"" CL403S MACIZO</t>
  </si>
  <si>
    <t>NEUMATICO 10.5/80-18 14PR R-4C TL</t>
  </si>
  <si>
    <t>NEUMATICO 10/16.5 10PR K192 CHAOYANG TL</t>
  </si>
  <si>
    <t>NEUMATICO 10/16.5 12PR L4</t>
  </si>
  <si>
    <t>NEUMATICO 10/16.5 12PR L4 CL-720</t>
  </si>
  <si>
    <t>NEUMATICO 10/16.5 12PR R4 LL-102</t>
  </si>
  <si>
    <t>P1995200</t>
  </si>
  <si>
    <t>NEUMATICO 10-16.5TL 10 PN16</t>
  </si>
  <si>
    <t>NEUMATICO 11.00/20 16PR C1A TT (SET) A2</t>
  </si>
  <si>
    <t>NEUMATICO MINERO</t>
  </si>
  <si>
    <t>NEUMATICO 11.00/20 16PR CIA TT TL</t>
  </si>
  <si>
    <t>NEUMATICO 11L/14 6PR IMPLEMENT</t>
  </si>
  <si>
    <t>NEUMATICO 11L/15 10PR F-3 TL</t>
  </si>
  <si>
    <t>NEUMATICO 11L/15 12PR I1</t>
  </si>
  <si>
    <t>NEUMATICO 11L/16 14PR F-3</t>
  </si>
  <si>
    <t>NEUMATICO 12.00/20 RIM 8.5"" CL-403S MACIZO</t>
  </si>
  <si>
    <t>NEUMATICO 12.4/24 8PR R1 CB-538</t>
  </si>
  <si>
    <t>NEUMATICO 12.4-28-10 R-1S FZ G/SAMSON</t>
  </si>
  <si>
    <t>NEUMATICO 12.5/80-18TRA-14-TL (L2D) SA</t>
  </si>
  <si>
    <t>NEUMATICO 12/16.5 12PR K192 R4 CHAOYANG TL</t>
  </si>
  <si>
    <t>NEUMATICO 12/16.5 12PR R4 L-2D</t>
  </si>
  <si>
    <t>P1995300</t>
  </si>
  <si>
    <t>NEUMATICO 12-16.5TL 10 PN16</t>
  </si>
  <si>
    <t>NEUMATICO 13.6/24 8PR R1S (solo)</t>
  </si>
  <si>
    <t>NEUMATICO 13.6/38 6PR CB-538 SET</t>
  </si>
  <si>
    <t>NEUMATICO 13.6/38-6PR CB538 WESTLAKE &amp; ET</t>
  </si>
  <si>
    <t>NEUMATICO 14.00 R20 20PR TR-691 SET</t>
  </si>
  <si>
    <t>NEUMATICO 14.00 R24 * G2 TB-536 TUB.</t>
  </si>
  <si>
    <t>NEUMATICO 14.00 R24 *** E-4 TB-516S TUB.</t>
  </si>
  <si>
    <t>NEUMATICO 14.00 R25 (385/95R25)***GLB05 TL H2 170F SAMS</t>
  </si>
  <si>
    <t>NEUMATICO 14.00 R25 *** E4 TB-516S (T2)</t>
  </si>
  <si>
    <t>NEUMATICO 14.00/24 16PR E3/L3 SET</t>
  </si>
  <si>
    <t>NEUMATICO 14.00-24 16PR G-2</t>
  </si>
  <si>
    <t>NEUMATICO 14.00-24-12 TL G-2E G/SAMSON</t>
  </si>
  <si>
    <t>NEUMATICO 14.00-24-16 LL42 TT</t>
  </si>
  <si>
    <t>NEUMATICO 14.00-24-16 TL G-2E G/SAMSON</t>
  </si>
  <si>
    <t>NEUMATICO 14.00-24-28PR LL42</t>
  </si>
  <si>
    <t>NEUMATICO 14.9 R30 TL R-1W (129A8) G/SA</t>
  </si>
  <si>
    <t>NEUMATICO 14.9/24 12PR R4 EL23 GOODRIDE TL</t>
  </si>
  <si>
    <t>NEUMATICO 14.9/24 12PR R4B (15.5/80X24)</t>
  </si>
  <si>
    <t>NEUMATICO 14.9/24 8PR R1 SAMSON</t>
  </si>
  <si>
    <t>NEUMATICO 14.9/28 8PR R-1S SAMSON</t>
  </si>
  <si>
    <t>NEUMATICO 14.9-24 PR12 AB400 SAMSON</t>
  </si>
  <si>
    <t>P0297600</t>
  </si>
  <si>
    <t>NEUMATICO 14.9-28TT 8R-1 TM95</t>
  </si>
  <si>
    <t>NEUMATICO 14/17.5 14PR CL723 R4 CHAOYANG TL</t>
  </si>
  <si>
    <t>NEUMATICO 14/17.5 16PR R4 L-2E</t>
  </si>
  <si>
    <t>NEUMATICO 14/17.5-16 TL NHS L-4A G/SA</t>
  </si>
  <si>
    <t>NEUMATICO 15x4 1/2-8 RIM 3.0"" CL-403(S)</t>
  </si>
  <si>
    <t>NEUMATICO 16 X 6-8 RIM 4.33"" CBX MACIZO</t>
  </si>
  <si>
    <t>HEUNG AH</t>
  </si>
  <si>
    <t>NEUMATICO 16.9/24 14PR R4 G/SAMSON RC</t>
  </si>
  <si>
    <t>NEUMATICO 16.9/24 8PR R1S ADVANCE/SAMSON</t>
  </si>
  <si>
    <t>P1491700</t>
  </si>
  <si>
    <t>NEUMATICO 16.9/24TT 10R-1 TM95</t>
  </si>
  <si>
    <t>NEUMATICO 16.9/28 8PR R1 CB-538</t>
  </si>
  <si>
    <t>NEUMATICO 16.9/28-12PR EL23 GOODRIDE TL</t>
  </si>
  <si>
    <t>NEUMATICO 16.9/34 10PR CB538 CHAOYANG SET</t>
  </si>
  <si>
    <t>P0994000</t>
  </si>
  <si>
    <t>NEUMATICO 16.9-28TT 8R-1 TM95</t>
  </si>
  <si>
    <t>NEUMATICO 16/70-20 14PR E3 LL-55 SET</t>
  </si>
  <si>
    <t>NEUMATICO 16/70-20 16PR L-3A TL ADVANCE</t>
  </si>
  <si>
    <t>NEUMATICO 16/70-20 LL25/L-3 LL (HB)</t>
  </si>
  <si>
    <t>NEUMATICO 16/70-20-14 (405/70-20) TL E-2H G/SAMSON</t>
  </si>
  <si>
    <t>NEUMATICO 16/70-24-14PR CB715 GOODRIDE &amp; SET</t>
  </si>
  <si>
    <t>NEUMATICO 16x6-8 RIM 4.33"" CL-403(S) MACIZO</t>
  </si>
  <si>
    <t>NEUMATICO 16X6X10 1/2 TR CUSHION WIDETRACK</t>
  </si>
  <si>
    <t>NEUMATICO 17.5 R25 TB516 ** L-3 (UK)T1</t>
  </si>
  <si>
    <t>NEUMATICO 17.5-25 16PR TL612 E-3/L-3 TL</t>
  </si>
  <si>
    <t>NEUMATICO 17.5L/24 12PR R4</t>
  </si>
  <si>
    <t>NEUMATICO 18.00 R25 ** GLR09 E4,2S, RC ADVANCE EN</t>
  </si>
  <si>
    <t>NEUMATICO 18.00 R25-TSM+ *** L5S T1</t>
  </si>
  <si>
    <t>NEUMATICO 18.00/25 32PR E3 LL-26</t>
  </si>
  <si>
    <t>NEUMATICO 18.00/25 32PR L5S SM05 GOODRIDE TL</t>
  </si>
  <si>
    <t>NEUMATICO 18.00/25 40PR E3 LL-26 SET</t>
  </si>
  <si>
    <t>NEUMATICO 18.4/26 10PR LS2A TT (SOLO)</t>
  </si>
  <si>
    <t>NEUMATICO 18.4/26 14PR R4</t>
  </si>
  <si>
    <t>NEUMATICO 18.4/38 10PR R1S</t>
  </si>
  <si>
    <t>NEUMATICO 18X7-8 16PR D-301 TT (SOLO)</t>
  </si>
  <si>
    <t>DEESTONE</t>
  </si>
  <si>
    <t>NEUMATICO 18x7-8 RIM 4.33""  LS-601</t>
  </si>
  <si>
    <t>NEUMATICO 18X7-8 RIM4.33 MACIZO CL403</t>
  </si>
  <si>
    <t>NEUMATICO 18X8X12 1/8 TR CUSHION WIDETRACK</t>
  </si>
  <si>
    <t>NEUMATICO 19.5L24 12PR R4 (EL23) GOODRIDE TL</t>
  </si>
  <si>
    <t>NEUMATICO 19.5L24 12PR R4B</t>
  </si>
  <si>
    <t>P1776600</t>
  </si>
  <si>
    <t>NEUMATICO 19.5L-24TL 12 PN12-NR</t>
  </si>
  <si>
    <t>NEUMATICO 20.5 R25 ** L3 TB-516 TUBULAR</t>
  </si>
  <si>
    <t>NEUMATICO 20.5 R25 L5 TL-538S+ TUB. **</t>
  </si>
  <si>
    <t>NEUMATICO 20.5/25 20PR E3/L3 CL-729 W TUBULAR</t>
  </si>
  <si>
    <t>NEUMATICO 200/50-10 RIM 6.50"" CL-403(S) MACIZO</t>
  </si>
  <si>
    <t>NEUMATICO 21x8-9 RIM 6.00"" CL-403(S) MACIZO</t>
  </si>
  <si>
    <t>NEUMATICO 23.1/26 10PR R-1K TT TIRE ONLY</t>
  </si>
  <si>
    <t>NEUMATICO 23.1/26 12PR C7 SET</t>
  </si>
  <si>
    <t>NEUMATICO 23.1/26 12PR R3 C7 TUBULAR</t>
  </si>
  <si>
    <t>NEUMATICO 23.1/26 14PR LS-2A</t>
  </si>
  <si>
    <t>NEUMATICO 23.1/26-12PR R1</t>
  </si>
  <si>
    <t>NEUMATICO 23.1-26-16 LS-2A G/SAMSON</t>
  </si>
  <si>
    <t>P0780100</t>
  </si>
  <si>
    <t>NEUMATICO 23.1-30TT 12R-1 TM95</t>
  </si>
  <si>
    <t>NEUMATICO 23.5 R25 E3/L3 ** LB01N TUB.</t>
  </si>
  <si>
    <t>NEUMATICO 23.5 R25 L-3 ** TB-516 TUBULAR</t>
  </si>
  <si>
    <t>NEUMATICO 23.5 R25 L5 ** TL-538S</t>
  </si>
  <si>
    <t>NEUMATICO 23.5/25 20PR E3/L3 CL-728 W TUBULAR</t>
  </si>
  <si>
    <t>NEUMATICO 23X850-14 GALAXY MARATHONER R4 6PR</t>
  </si>
  <si>
    <t>GALAXY</t>
  </si>
  <si>
    <t>NEUMATICO 24.00 R35 E-4 TB526S** T3</t>
  </si>
  <si>
    <t>NEUMATICO 24.00/35 42PR E4-L4 HONOUR</t>
  </si>
  <si>
    <t>HONOUR</t>
  </si>
  <si>
    <t>NEUMATICO 24.00/35 42PR L-4-E4 HONOUR</t>
  </si>
  <si>
    <t>NEUMATICO 250/15 18PR OB501</t>
  </si>
  <si>
    <t>NEUMATICO 250/15 MACIZO CL403</t>
  </si>
  <si>
    <t>NEUMATICO 26.5 R25 E3/L3/G3** LB01N</t>
  </si>
  <si>
    <t>NEUMATICO 26.5 R25 L3 ** TB-516 TUB.</t>
  </si>
  <si>
    <t>NEUMATICO 26.5 R25 L5 ** TL-538S+ TUB.</t>
  </si>
  <si>
    <t>NEUMATICO 27.00/49 48PR E4/L4 S-118</t>
  </si>
  <si>
    <t>NEUMATICO 27.00/49 48PR L4 S118 HONOUR</t>
  </si>
  <si>
    <t>R185000</t>
  </si>
  <si>
    <t>NEUMATICO 27.00/49 HONOUR</t>
  </si>
  <si>
    <t>GENERICO</t>
  </si>
  <si>
    <t>NEUMATICO 280/70 R16 TL 112D AR1200 SAMSON EN</t>
  </si>
  <si>
    <t>NEUMATICO 280/70 R18 TL 114D AR1200 (R-1W) SAMSON</t>
  </si>
  <si>
    <t>NEUMATICO 280/70 R20 122D AR1200</t>
  </si>
  <si>
    <t>NEUMATICO 280/70 R20 TL R-1W (116d) G/SAMSON</t>
  </si>
  <si>
    <t>NEUMATICO 280/85 R24 (11.2R24) LR681</t>
  </si>
  <si>
    <t>NEUMATICO 280/85 R24 TL R-1W (115A8) G/SA</t>
  </si>
  <si>
    <t>NEUMATICO 28L-26 18PR LS-2A</t>
  </si>
  <si>
    <t>NEUMATICO 28L-26-20 LS-2A G/SAMSON</t>
  </si>
  <si>
    <t>NEUMATICO 28X9-15 12PR LL-39</t>
  </si>
  <si>
    <t>NEUMATICO 28x9-15 RIM 7"" CBX MACIZO</t>
  </si>
  <si>
    <t>NEUMATICO 28x9-15 RIM 7.00"" CL-403(S) MACIZO</t>
  </si>
  <si>
    <t>NEUMATICO 28X9-15-14PR CL619 CHAOYANG SET</t>
  </si>
  <si>
    <t>NEUMATICO 29.5 R25 TB598S ** E-4 (UK)T2</t>
  </si>
  <si>
    <t>NEUMATICO 30.5L-32-20 LS-2 G/SAMSON</t>
  </si>
  <si>
    <t>NEUMATICO 31X15.5-15 12PR TL NHS I3D</t>
  </si>
  <si>
    <t>NEUMATICO 320/85 R24 R1W (12.4R24) LR-861</t>
  </si>
  <si>
    <t>NEUMATICO 320/85 R24 TL R-1W (122A8) G/SA</t>
  </si>
  <si>
    <t>NEUMATICO 340/85 R24 (13.6R24 HB) LR861</t>
  </si>
  <si>
    <t>NEUMATICO 340/85 R24 TL R-1W (125A8) G/SA</t>
  </si>
  <si>
    <t>NEUMATICO 355/65-15 MTP9.75N BLACK EASY-FIT</t>
  </si>
  <si>
    <t>NEXEN</t>
  </si>
  <si>
    <t>NEUMATICO 360/70 R24 (12.4R24) LR700</t>
  </si>
  <si>
    <t>NEUMATICO 380/85 R24 R1W (14.9R24) LR-861</t>
  </si>
  <si>
    <t>NEUMATICO 380/85 R24 TL R-1W (131A8) G/SA</t>
  </si>
  <si>
    <t>P2823300</t>
  </si>
  <si>
    <t>NEUMATICO 380/85 R24TL 131A8 (131B) R-1WPHP:85</t>
  </si>
  <si>
    <t>NEUMATICO 380/85 R28 R1W (14.9R28) LR-861</t>
  </si>
  <si>
    <t>NEUMATICO 385/95 R24***GLB05 TL H2,RC 170F SA</t>
  </si>
  <si>
    <t>NEUMATICO 420/70 R24 R1W (14.9 R24) LR-700</t>
  </si>
  <si>
    <t>NEUMATICO 420/70 R24 TL R-1W (136D) G/SA</t>
  </si>
  <si>
    <t>NEUMATICO 420/85 R24 (16.9R24) LR861</t>
  </si>
  <si>
    <t>NEUMATICO 420/85 R28 R1W (16.9 R28) LR-861</t>
  </si>
  <si>
    <t>NEUMATICO 420/85 R38 LR861</t>
  </si>
  <si>
    <t>NEUMATICO 460/85 R30 R1W (18.4 R30) LR-861</t>
  </si>
  <si>
    <t>NEUMATICO 460/85 R34 (HB) 147A8/144B LR861 TL</t>
  </si>
  <si>
    <t>NEUMATICO 460/85 R34 R-1W (147A8/B) G/SA</t>
  </si>
  <si>
    <t>NEUMATICO 460/85 R38 (18.4R38) LR861</t>
  </si>
  <si>
    <t>P3381600</t>
  </si>
  <si>
    <t>NEUMATICO 480/65 R28TL 136DR-1W PHP:65</t>
  </si>
  <si>
    <t>NEUMATICO 480/70 R24 138A8/135B LR700 TL</t>
  </si>
  <si>
    <t>NEUMATICO 5.00/15 6PR F2</t>
  </si>
  <si>
    <t>NEUMATICO 5.00/8 10PR LL-45</t>
  </si>
  <si>
    <t>NEUMATICO 5.00/8 RIM 3'' CL-403S GS MACIZO</t>
  </si>
  <si>
    <t>NEUMATICO 5.00/8 RIM 3"" CL-403S MACIZO BLANCO</t>
  </si>
  <si>
    <t>NEUMATICO 5.00/8 RIM 3"" D307 MACIZO</t>
  </si>
  <si>
    <t>P3381700</t>
  </si>
  <si>
    <t>NEUMATICO 520/70 R38TL 150DR-1W PHP:70</t>
  </si>
  <si>
    <t>NEUMATICO 6.00/9 10PR CL-619</t>
  </si>
  <si>
    <t>NEUMATICO 6.00/9 RIM 4.0"" CL-403 MACIZO</t>
  </si>
  <si>
    <t>NEUMATICO 6.00-12 8PR LL31 16bls LING LONG</t>
  </si>
  <si>
    <t>NEUMATICO 6.50/10 10PR CL619 CHAOYANG &amp; SET</t>
  </si>
  <si>
    <t>NEUMATICO 600/65 R28 (16.9R28) R1W LR-650</t>
  </si>
  <si>
    <t>P2695300</t>
  </si>
  <si>
    <t>NEUMATICO 620/70 R42TL 166DR-1W PHP:70</t>
  </si>
  <si>
    <t>NEUMATICO 7.00/12 12PR CL-619 (GOODRIDE/CHAOYANG)</t>
  </si>
  <si>
    <t>NEUMATICO 7.00/12 14PR TT OB501</t>
  </si>
  <si>
    <t>NEUMATICO 7.00/12 RIM 5"" CL-403S MACIZO</t>
  </si>
  <si>
    <t>NEUMATICO 7.00/15 12PR LL-39</t>
  </si>
  <si>
    <t>NEUMATICO 7.00/15 5.5RIM CL403S GS SOLID (NEW)</t>
  </si>
  <si>
    <t>NEUMATICO 7.50/18 8PR F2  (SOLO)</t>
  </si>
  <si>
    <t>NEUMATICO 7.50/18 8PR F2 TT</t>
  </si>
  <si>
    <t>NEUMATICO 7.50-15/5.5R CL403S</t>
  </si>
  <si>
    <t>P2734500</t>
  </si>
  <si>
    <t>NEUMATICO 710/75 R42TL 175DR-1W PHP:75</t>
  </si>
  <si>
    <t>NEUMATICO 8.25/15 14PR CL619 CHAOYANG &amp; SET</t>
  </si>
  <si>
    <t>NEUMATICO 8.25/15 14PR LL-45</t>
  </si>
  <si>
    <t>NEUMATICO 8.25/15 RIM 6.5"" CL-403 MACIZO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</si>
</sst>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$&quot;* #,##0_ ;_ &quot;$&quot;* \-#,##0_ ;_ &quot;$&quot;* &quot;-&quot;_ ;_ @_ "/>
    <numFmt numFmtId="165" formatCode="_ * #,##0_ ;_ * \-#,##0_ ;_ * &quot;-&quot;_ ;_ @_ "/>
    <numFmt numFmtId="166" formatCode="_ * #,##0.00_ ;_ * \-#,##0.00_ ;_ * &quot;-&quot;_ ;_ @_ "/>
    <numFmt numFmtId="167" formatCode="#,##0.00_ ;\-#,##0.00\ 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999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5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164" fontId="0" fillId="0" borderId="0" xfId="1" applyFont="1" applyAlignment="1">
      <alignment horizontal="center"/>
    </xf>
    <xf numFmtId="0" fontId="0" fillId="0" borderId="0" xfId="0" applyAlignment="1">
      <alignment horizontal="left"/>
    </xf>
    <xf numFmtId="0" fontId="13" fillId="33" borderId="0" xfId="0" applyFont="1" applyFill="1"/>
    <xf numFmtId="164" fontId="16" fillId="0" borderId="0" xfId="1" applyFont="1" applyAlignment="1">
      <alignment horizontal="center"/>
    </xf>
    <xf numFmtId="0" fontId="16" fillId="0" borderId="0" xfId="0" applyFont="1" applyAlignment="1">
      <alignment horizontal="center"/>
    </xf>
    <xf numFmtId="0" fontId="0" fillId="34" borderId="0" xfId="0" applyFill="1" applyAlignment="1">
      <alignment horizontal="center"/>
    </xf>
    <xf numFmtId="0" fontId="0" fillId="34" borderId="0" xfId="0" applyFill="1" applyAlignment="1">
      <alignment horizontal="left"/>
    </xf>
    <xf numFmtId="49" fontId="13" fillId="33" borderId="0" xfId="0" applyNumberFormat="1" applyFont="1" applyFill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167" fontId="0" fillId="0" borderId="0" xfId="0" applyNumberFormat="1"/>
    <xf numFmtId="166" fontId="0" fillId="0" borderId="0" xfId="43" applyNumberFormat="1" applyFont="1"/>
    <xf numFmtId="167" fontId="0" fillId="0" borderId="0" xfId="0" applyNumberFormat="1" applyAlignment="1">
      <alignment horizontal="center"/>
    </xf>
  </cellXfs>
  <cellStyles count="44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 [0]" xfId="43" builtinId="6"/>
    <cellStyle name="Moneda [0]" xfId="1" builtinId="7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629BC-BF5A-4AF5-BD58-1D668DEC2E01}">
  <sheetPr filterMode="1"/>
  <dimension ref="A1:N331"/>
  <sheetViews>
    <sheetView tabSelected="1" zoomScale="115" zoomScaleNormal="115" workbookViewId="0">
      <pane ySplit="1" topLeftCell="A13" activePane="bottomLeft" state="frozen"/>
      <selection pane="bottomLeft" activeCell="J54" sqref="J54"/>
    </sheetView>
  </sheetViews>
  <sheetFormatPr defaultColWidth="11.42578125" defaultRowHeight="14.45"/>
  <cols>
    <col min="1" max="1" width="10.85546875" style="1"/>
    <col min="2" max="2" width="53" style="3" customWidth="1"/>
    <col min="3" max="3" width="15.140625" style="1" customWidth="1"/>
    <col min="4" max="4" width="15" style="1" bestFit="1" customWidth="1"/>
    <col min="5" max="5" width="0" style="1" hidden="1" customWidth="1"/>
    <col min="6" max="6" width="13.28515625" style="1" customWidth="1"/>
    <col min="7" max="7" width="18.5703125" customWidth="1"/>
    <col min="8" max="8" width="13.42578125" customWidth="1"/>
    <col min="9" max="9" width="17.7109375" style="1" customWidth="1"/>
    <col min="10" max="10" width="13.5703125" bestFit="1" customWidth="1"/>
    <col min="11" max="14" width="11.28515625" customWidth="1"/>
    <col min="16" max="16" width="37" customWidth="1"/>
  </cols>
  <sheetData>
    <row r="1" spans="1:14" s="10" customFormat="1" ht="29.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  <row r="2" spans="1:14" ht="22.5" hidden="1" customHeight="1">
      <c r="A2" s="1">
        <v>108658</v>
      </c>
      <c r="B2" s="3" t="s">
        <v>14</v>
      </c>
      <c r="C2" s="1" t="s">
        <v>15</v>
      </c>
      <c r="D2" s="1" t="s">
        <v>16</v>
      </c>
      <c r="E2" s="2">
        <v>275836</v>
      </c>
      <c r="F2" s="1">
        <v>33</v>
      </c>
      <c r="G2" s="11">
        <f>E2-(E2*35%)</f>
        <v>179293.40000000002</v>
      </c>
      <c r="H2" s="11">
        <f>G2*19%</f>
        <v>34065.746000000006</v>
      </c>
      <c r="I2" s="13">
        <f>G2+H2</f>
        <v>213359.14600000004</v>
      </c>
      <c r="J2" s="11">
        <f t="shared" ref="J2:J12" si="0">I2/(1-10%)</f>
        <v>237065.71777777781</v>
      </c>
      <c r="K2" s="12">
        <f>I2/(1-12%)</f>
        <v>242453.57500000004</v>
      </c>
      <c r="L2" s="12">
        <f>I2/(1-15%)</f>
        <v>251010.76000000004</v>
      </c>
      <c r="M2" s="12">
        <f>I2/(1-20%)</f>
        <v>266698.93250000005</v>
      </c>
      <c r="N2" s="12">
        <f>I2/(1-25%)</f>
        <v>284478.86133333336</v>
      </c>
    </row>
    <row r="3" spans="1:14" ht="22.5" hidden="1" customHeight="1">
      <c r="A3" s="1">
        <v>151008</v>
      </c>
      <c r="B3" s="3" t="s">
        <v>17</v>
      </c>
      <c r="C3" s="1" t="s">
        <v>18</v>
      </c>
      <c r="D3" s="1" t="s">
        <v>19</v>
      </c>
      <c r="E3" s="2">
        <v>250393</v>
      </c>
      <c r="F3" s="1" t="s">
        <v>5</v>
      </c>
      <c r="G3" s="11">
        <f t="shared" ref="G3:G66" si="1">E3-(E3*35%)</f>
        <v>162755.45000000001</v>
      </c>
      <c r="H3" s="11">
        <f t="shared" ref="H3:H66" si="2">G3*19%</f>
        <v>30923.535500000002</v>
      </c>
      <c r="I3" s="13">
        <f t="shared" ref="I3:I66" si="3">G3+H3</f>
        <v>193678.98550000001</v>
      </c>
      <c r="J3" s="11">
        <f t="shared" si="0"/>
        <v>215198.87277777778</v>
      </c>
      <c r="K3" s="12">
        <f t="shared" ref="K3:K66" si="4">I3/(1-12%)</f>
        <v>220089.75625000001</v>
      </c>
      <c r="L3" s="12">
        <f t="shared" ref="L3:L66" si="5">I3/(1-15%)</f>
        <v>227857.63</v>
      </c>
      <c r="M3" s="12">
        <f t="shared" ref="M3:M66" si="6">I3/(1-20%)</f>
        <v>242098.731875</v>
      </c>
      <c r="N3" s="12">
        <f t="shared" ref="N3:N66" si="7">I3/(1-25%)</f>
        <v>258238.64733333336</v>
      </c>
    </row>
    <row r="4" spans="1:14" ht="22.5" hidden="1" customHeight="1">
      <c r="A4" s="1">
        <v>108042</v>
      </c>
      <c r="B4" s="3" t="s">
        <v>20</v>
      </c>
      <c r="C4" s="1" t="s">
        <v>18</v>
      </c>
      <c r="D4" s="1" t="s">
        <v>16</v>
      </c>
      <c r="E4" s="2">
        <v>298117</v>
      </c>
      <c r="F4" s="1">
        <v>1</v>
      </c>
      <c r="G4" s="11">
        <f t="shared" si="1"/>
        <v>193776.05</v>
      </c>
      <c r="H4" s="11">
        <f t="shared" si="2"/>
        <v>36817.449499999995</v>
      </c>
      <c r="I4" s="13">
        <f t="shared" si="3"/>
        <v>230593.49949999998</v>
      </c>
      <c r="J4" s="11">
        <f t="shared" si="0"/>
        <v>256214.9994444444</v>
      </c>
      <c r="K4" s="12">
        <f t="shared" si="4"/>
        <v>262038.06761363635</v>
      </c>
      <c r="L4" s="12">
        <f t="shared" si="5"/>
        <v>271286.46999999997</v>
      </c>
      <c r="M4" s="12">
        <f t="shared" si="6"/>
        <v>288241.87437499996</v>
      </c>
      <c r="N4" s="12">
        <f t="shared" si="7"/>
        <v>307457.99933333328</v>
      </c>
    </row>
    <row r="5" spans="1:14" ht="22.5" hidden="1" customHeight="1">
      <c r="A5" s="1">
        <v>109177</v>
      </c>
      <c r="B5" s="3" t="s">
        <v>21</v>
      </c>
      <c r="C5" s="1" t="s">
        <v>22</v>
      </c>
      <c r="D5" s="1" t="s">
        <v>23</v>
      </c>
      <c r="E5" s="2">
        <v>252775</v>
      </c>
      <c r="F5" s="1">
        <v>2</v>
      </c>
      <c r="G5" s="11">
        <f t="shared" si="1"/>
        <v>164303.75</v>
      </c>
      <c r="H5" s="11">
        <f t="shared" si="2"/>
        <v>31217.712500000001</v>
      </c>
      <c r="I5" s="13">
        <f t="shared" si="3"/>
        <v>195521.46249999999</v>
      </c>
      <c r="J5" s="11">
        <f t="shared" si="0"/>
        <v>217246.06944444444</v>
      </c>
      <c r="K5" s="12">
        <f t="shared" si="4"/>
        <v>222183.48011363635</v>
      </c>
      <c r="L5" s="12">
        <f t="shared" si="5"/>
        <v>230025.25</v>
      </c>
      <c r="M5" s="12">
        <f t="shared" si="6"/>
        <v>244401.82812499997</v>
      </c>
      <c r="N5" s="12">
        <f t="shared" si="7"/>
        <v>260695.28333333333</v>
      </c>
    </row>
    <row r="6" spans="1:14" ht="22.5" hidden="1" customHeight="1">
      <c r="A6" s="1">
        <v>108645</v>
      </c>
      <c r="B6" s="3" t="s">
        <v>24</v>
      </c>
      <c r="C6" s="1" t="s">
        <v>25</v>
      </c>
      <c r="D6" s="1" t="s">
        <v>16</v>
      </c>
      <c r="E6" s="2">
        <v>334693</v>
      </c>
      <c r="F6" s="1">
        <v>41</v>
      </c>
      <c r="G6" s="11">
        <f t="shared" si="1"/>
        <v>217550.45</v>
      </c>
      <c r="H6" s="11">
        <f t="shared" si="2"/>
        <v>41334.585500000001</v>
      </c>
      <c r="I6" s="13">
        <f t="shared" si="3"/>
        <v>258885.0355</v>
      </c>
      <c r="J6" s="11">
        <f t="shared" si="0"/>
        <v>287650.03944444441</v>
      </c>
      <c r="K6" s="12">
        <f t="shared" si="4"/>
        <v>294187.54034090909</v>
      </c>
      <c r="L6" s="12">
        <f t="shared" si="5"/>
        <v>304570.63</v>
      </c>
      <c r="M6" s="12">
        <f t="shared" si="6"/>
        <v>323606.294375</v>
      </c>
      <c r="N6" s="12">
        <f t="shared" si="7"/>
        <v>345180.04733333335</v>
      </c>
    </row>
    <row r="7" spans="1:14" ht="22.5" hidden="1" customHeight="1">
      <c r="A7" s="1">
        <v>111592</v>
      </c>
      <c r="B7" s="3" t="s">
        <v>26</v>
      </c>
      <c r="C7" s="1" t="s">
        <v>22</v>
      </c>
      <c r="D7" s="1" t="s">
        <v>23</v>
      </c>
      <c r="E7" s="2">
        <v>267702</v>
      </c>
      <c r="F7" s="1">
        <v>1</v>
      </c>
      <c r="G7" s="11">
        <f t="shared" si="1"/>
        <v>174006.3</v>
      </c>
      <c r="H7" s="11">
        <f t="shared" si="2"/>
        <v>33061.197</v>
      </c>
      <c r="I7" s="13">
        <f t="shared" si="3"/>
        <v>207067.49699999997</v>
      </c>
      <c r="J7" s="11">
        <f t="shared" si="0"/>
        <v>230074.99666666664</v>
      </c>
      <c r="K7" s="12">
        <f t="shared" si="4"/>
        <v>235303.97386363635</v>
      </c>
      <c r="L7" s="12">
        <f t="shared" si="5"/>
        <v>243608.81999999998</v>
      </c>
      <c r="M7" s="12">
        <f t="shared" si="6"/>
        <v>258834.37124999997</v>
      </c>
      <c r="N7" s="12">
        <f t="shared" si="7"/>
        <v>276089.99599999998</v>
      </c>
    </row>
    <row r="8" spans="1:14" ht="22.5" hidden="1" customHeight="1">
      <c r="A8" s="1">
        <v>112673</v>
      </c>
      <c r="B8" s="3" t="s">
        <v>27</v>
      </c>
      <c r="C8" s="1" t="s">
        <v>25</v>
      </c>
      <c r="D8" s="1" t="s">
        <v>23</v>
      </c>
      <c r="E8" s="2">
        <v>397586</v>
      </c>
      <c r="F8" s="1">
        <v>41</v>
      </c>
      <c r="G8" s="11">
        <f t="shared" si="1"/>
        <v>258430.90000000002</v>
      </c>
      <c r="H8" s="11">
        <f t="shared" si="2"/>
        <v>49101.871000000006</v>
      </c>
      <c r="I8" s="13">
        <f t="shared" si="3"/>
        <v>307532.77100000001</v>
      </c>
      <c r="J8" s="11">
        <f t="shared" si="0"/>
        <v>341703.07888888888</v>
      </c>
      <c r="K8" s="12">
        <f t="shared" si="4"/>
        <v>349469.05795454548</v>
      </c>
      <c r="L8" s="12">
        <f t="shared" si="5"/>
        <v>361803.26</v>
      </c>
      <c r="M8" s="12">
        <f t="shared" si="6"/>
        <v>384415.96375</v>
      </c>
      <c r="N8" s="12">
        <f t="shared" si="7"/>
        <v>410043.69466666668</v>
      </c>
    </row>
    <row r="9" spans="1:14" ht="22.5" hidden="1" customHeight="1">
      <c r="A9" s="1">
        <v>108805</v>
      </c>
      <c r="B9" s="3" t="s">
        <v>28</v>
      </c>
      <c r="C9" s="1" t="s">
        <v>25</v>
      </c>
      <c r="D9" s="1" t="s">
        <v>29</v>
      </c>
      <c r="E9" s="2">
        <v>274484</v>
      </c>
      <c r="F9" s="1">
        <v>1</v>
      </c>
      <c r="G9" s="11">
        <f t="shared" si="1"/>
        <v>178414.6</v>
      </c>
      <c r="H9" s="11">
        <f t="shared" si="2"/>
        <v>33898.774000000005</v>
      </c>
      <c r="I9" s="13">
        <f t="shared" si="3"/>
        <v>212313.37400000001</v>
      </c>
      <c r="J9" s="11">
        <f t="shared" si="0"/>
        <v>235903.74888888889</v>
      </c>
      <c r="K9" s="12">
        <f t="shared" si="4"/>
        <v>241265.19772727275</v>
      </c>
      <c r="L9" s="12">
        <f t="shared" si="5"/>
        <v>249780.44000000003</v>
      </c>
      <c r="M9" s="12">
        <f t="shared" si="6"/>
        <v>265391.71749999997</v>
      </c>
      <c r="N9" s="12">
        <f t="shared" si="7"/>
        <v>283084.49866666668</v>
      </c>
    </row>
    <row r="10" spans="1:14" ht="22.5" hidden="1" customHeight="1">
      <c r="A10" s="1">
        <v>109607</v>
      </c>
      <c r="B10" s="3" t="s">
        <v>30</v>
      </c>
      <c r="C10" s="1" t="s">
        <v>15</v>
      </c>
      <c r="D10" s="1" t="s">
        <v>23</v>
      </c>
      <c r="E10" s="2">
        <v>284601</v>
      </c>
      <c r="F10" s="1">
        <v>17</v>
      </c>
      <c r="G10" s="11">
        <f t="shared" si="1"/>
        <v>184990.65000000002</v>
      </c>
      <c r="H10" s="11">
        <f t="shared" si="2"/>
        <v>35148.223500000007</v>
      </c>
      <c r="I10" s="13">
        <f t="shared" si="3"/>
        <v>220138.87350000005</v>
      </c>
      <c r="J10" s="11">
        <f t="shared" si="0"/>
        <v>244598.74833333338</v>
      </c>
      <c r="K10" s="12">
        <f t="shared" si="4"/>
        <v>250157.8107954546</v>
      </c>
      <c r="L10" s="12">
        <f t="shared" si="5"/>
        <v>258986.91000000006</v>
      </c>
      <c r="M10" s="12">
        <f t="shared" si="6"/>
        <v>275173.59187500004</v>
      </c>
      <c r="N10" s="12">
        <f t="shared" si="7"/>
        <v>293518.49800000008</v>
      </c>
    </row>
    <row r="11" spans="1:14" ht="22.5" hidden="1" customHeight="1">
      <c r="A11" s="1">
        <v>109612</v>
      </c>
      <c r="B11" s="3" t="s">
        <v>31</v>
      </c>
      <c r="C11" s="1" t="s">
        <v>25</v>
      </c>
      <c r="D11" s="1" t="s">
        <v>23</v>
      </c>
      <c r="E11" s="2">
        <v>297169</v>
      </c>
      <c r="F11" s="1">
        <v>66</v>
      </c>
      <c r="G11" s="11">
        <f t="shared" si="1"/>
        <v>193159.85</v>
      </c>
      <c r="H11" s="11">
        <f t="shared" si="2"/>
        <v>36700.371500000001</v>
      </c>
      <c r="I11" s="13">
        <f t="shared" si="3"/>
        <v>229860.22150000001</v>
      </c>
      <c r="J11" s="11">
        <f t="shared" si="0"/>
        <v>255400.24611111113</v>
      </c>
      <c r="K11" s="12">
        <f t="shared" si="4"/>
        <v>261204.79715909093</v>
      </c>
      <c r="L11" s="12">
        <f t="shared" si="5"/>
        <v>270423.79000000004</v>
      </c>
      <c r="M11" s="12">
        <f t="shared" si="6"/>
        <v>287325.27687499998</v>
      </c>
      <c r="N11" s="12">
        <f t="shared" si="7"/>
        <v>306480.29533333337</v>
      </c>
    </row>
    <row r="12" spans="1:14" ht="22.5" hidden="1" customHeight="1">
      <c r="A12" s="1">
        <v>109180</v>
      </c>
      <c r="B12" s="3" t="s">
        <v>32</v>
      </c>
      <c r="C12" s="1" t="s">
        <v>25</v>
      </c>
      <c r="D12" s="1" t="s">
        <v>23</v>
      </c>
      <c r="E12" s="2">
        <v>251175</v>
      </c>
      <c r="F12" s="1">
        <v>1</v>
      </c>
      <c r="G12" s="11">
        <f t="shared" si="1"/>
        <v>163263.75</v>
      </c>
      <c r="H12" s="11">
        <f t="shared" si="2"/>
        <v>31020.112499999999</v>
      </c>
      <c r="I12" s="13">
        <f t="shared" si="3"/>
        <v>194283.86249999999</v>
      </c>
      <c r="J12" s="11">
        <f t="shared" si="0"/>
        <v>215870.95833333331</v>
      </c>
      <c r="K12" s="12">
        <f t="shared" si="4"/>
        <v>220777.11647727271</v>
      </c>
      <c r="L12" s="12">
        <f t="shared" si="5"/>
        <v>228569.25</v>
      </c>
      <c r="M12" s="12">
        <f t="shared" si="6"/>
        <v>242854.82812499997</v>
      </c>
      <c r="N12" s="12">
        <f t="shared" si="7"/>
        <v>259045.15</v>
      </c>
    </row>
    <row r="13" spans="1:14" ht="22.5" hidden="1" customHeight="1">
      <c r="A13" s="1">
        <v>150428</v>
      </c>
      <c r="B13" s="3" t="s">
        <v>33</v>
      </c>
      <c r="C13" s="1" t="s">
        <v>18</v>
      </c>
      <c r="D13" s="1" t="s">
        <v>34</v>
      </c>
      <c r="E13" s="2">
        <v>236302</v>
      </c>
      <c r="F13" s="1" t="s">
        <v>5</v>
      </c>
      <c r="G13" s="11">
        <f t="shared" si="1"/>
        <v>153596.29999999999</v>
      </c>
      <c r="H13" s="11">
        <f t="shared" si="2"/>
        <v>29183.296999999999</v>
      </c>
      <c r="I13" s="13">
        <f t="shared" si="3"/>
        <v>182779.59699999998</v>
      </c>
      <c r="J13" s="11">
        <f>I13/(1-10%)</f>
        <v>203088.44111111108</v>
      </c>
      <c r="K13" s="12">
        <f t="shared" si="4"/>
        <v>207704.08749999997</v>
      </c>
      <c r="L13" s="12">
        <f t="shared" si="5"/>
        <v>215034.81999999998</v>
      </c>
      <c r="M13" s="12">
        <f t="shared" si="6"/>
        <v>228474.49624999997</v>
      </c>
      <c r="N13" s="12">
        <f t="shared" si="7"/>
        <v>243706.12933333332</v>
      </c>
    </row>
    <row r="14" spans="1:14" ht="22.5" hidden="1" customHeight="1">
      <c r="A14" s="1">
        <v>151005</v>
      </c>
      <c r="B14" s="3" t="s">
        <v>35</v>
      </c>
      <c r="C14" s="1" t="s">
        <v>22</v>
      </c>
      <c r="D14" s="1" t="s">
        <v>19</v>
      </c>
      <c r="E14" s="2">
        <v>213436</v>
      </c>
      <c r="F14" s="1" t="s">
        <v>5</v>
      </c>
      <c r="G14" s="11">
        <f t="shared" si="1"/>
        <v>138733.40000000002</v>
      </c>
      <c r="H14" s="11">
        <f t="shared" si="2"/>
        <v>26359.346000000005</v>
      </c>
      <c r="I14" s="13">
        <f t="shared" si="3"/>
        <v>165092.74600000004</v>
      </c>
      <c r="J14" s="11">
        <f t="shared" ref="J14:J77" si="8">I14/(1-10%)</f>
        <v>183436.3844444445</v>
      </c>
      <c r="K14" s="12">
        <f t="shared" si="4"/>
        <v>187605.39318181822</v>
      </c>
      <c r="L14" s="12">
        <f t="shared" si="5"/>
        <v>194226.76000000007</v>
      </c>
      <c r="M14" s="12">
        <f t="shared" si="6"/>
        <v>206365.93250000005</v>
      </c>
      <c r="N14" s="12">
        <f t="shared" si="7"/>
        <v>220123.66133333338</v>
      </c>
    </row>
    <row r="15" spans="1:14" ht="22.5" hidden="1" customHeight="1">
      <c r="A15" s="1">
        <v>151004</v>
      </c>
      <c r="B15" s="3" t="s">
        <v>36</v>
      </c>
      <c r="C15" s="1" t="s">
        <v>18</v>
      </c>
      <c r="D15" s="1" t="s">
        <v>19</v>
      </c>
      <c r="E15" s="2">
        <v>203617</v>
      </c>
      <c r="F15" s="1">
        <v>2</v>
      </c>
      <c r="G15" s="11">
        <f t="shared" si="1"/>
        <v>132351.04999999999</v>
      </c>
      <c r="H15" s="11">
        <f t="shared" si="2"/>
        <v>25146.699499999999</v>
      </c>
      <c r="I15" s="13">
        <f t="shared" si="3"/>
        <v>157497.74949999998</v>
      </c>
      <c r="J15" s="11">
        <f t="shared" si="8"/>
        <v>174997.4994444444</v>
      </c>
      <c r="K15" s="12">
        <f t="shared" si="4"/>
        <v>178974.71534090905</v>
      </c>
      <c r="L15" s="12">
        <f t="shared" si="5"/>
        <v>185291.46999999997</v>
      </c>
      <c r="M15" s="12">
        <f t="shared" si="6"/>
        <v>196872.18687499996</v>
      </c>
      <c r="N15" s="12">
        <f t="shared" si="7"/>
        <v>209996.99933333331</v>
      </c>
    </row>
    <row r="16" spans="1:14" ht="22.5" hidden="1" customHeight="1">
      <c r="A16" s="1">
        <v>151046</v>
      </c>
      <c r="B16" s="3" t="s">
        <v>37</v>
      </c>
      <c r="C16" s="1" t="s">
        <v>25</v>
      </c>
      <c r="D16" s="1" t="s">
        <v>19</v>
      </c>
      <c r="E16" s="2">
        <v>244788</v>
      </c>
      <c r="F16" s="1" t="s">
        <v>5</v>
      </c>
      <c r="G16" s="11">
        <f t="shared" si="1"/>
        <v>159112.20000000001</v>
      </c>
      <c r="H16" s="11">
        <f t="shared" si="2"/>
        <v>30231.318000000003</v>
      </c>
      <c r="I16" s="13">
        <f t="shared" si="3"/>
        <v>189343.51800000001</v>
      </c>
      <c r="J16" s="11">
        <f t="shared" si="8"/>
        <v>210381.68666666668</v>
      </c>
      <c r="K16" s="12">
        <f t="shared" si="4"/>
        <v>215163.08863636365</v>
      </c>
      <c r="L16" s="12">
        <f t="shared" si="5"/>
        <v>222757.08000000002</v>
      </c>
      <c r="M16" s="12">
        <f t="shared" si="6"/>
        <v>236679.39749999999</v>
      </c>
      <c r="N16" s="12">
        <f t="shared" si="7"/>
        <v>252458.024</v>
      </c>
    </row>
    <row r="17" spans="1:14" ht="22.5" hidden="1" customHeight="1">
      <c r="A17" s="1">
        <v>151025</v>
      </c>
      <c r="B17" s="3" t="s">
        <v>37</v>
      </c>
      <c r="C17" s="1" t="s">
        <v>25</v>
      </c>
      <c r="D17" s="1" t="s">
        <v>19</v>
      </c>
      <c r="E17" s="2">
        <v>224187</v>
      </c>
      <c r="F17" s="1">
        <v>2</v>
      </c>
      <c r="G17" s="11">
        <f t="shared" si="1"/>
        <v>145721.54999999999</v>
      </c>
      <c r="H17" s="11">
        <f t="shared" si="2"/>
        <v>27687.094499999999</v>
      </c>
      <c r="I17" s="13">
        <f t="shared" si="3"/>
        <v>173408.64449999999</v>
      </c>
      <c r="J17" s="11">
        <f t="shared" si="8"/>
        <v>192676.27166666667</v>
      </c>
      <c r="K17" s="12">
        <f t="shared" si="4"/>
        <v>197055.27784090908</v>
      </c>
      <c r="L17" s="12">
        <f t="shared" si="5"/>
        <v>204010.17</v>
      </c>
      <c r="M17" s="12">
        <f t="shared" si="6"/>
        <v>216760.80562499998</v>
      </c>
      <c r="N17" s="12">
        <f t="shared" si="7"/>
        <v>231211.52599999998</v>
      </c>
    </row>
    <row r="18" spans="1:14" ht="22.5" hidden="1" customHeight="1">
      <c r="A18" s="1">
        <v>151161</v>
      </c>
      <c r="B18" s="3" t="s">
        <v>38</v>
      </c>
      <c r="C18" s="1" t="s">
        <v>39</v>
      </c>
      <c r="D18" s="1" t="s">
        <v>19</v>
      </c>
      <c r="E18" s="2">
        <v>210993</v>
      </c>
      <c r="F18" s="1">
        <v>2</v>
      </c>
      <c r="G18" s="11">
        <f t="shared" si="1"/>
        <v>137145.45000000001</v>
      </c>
      <c r="H18" s="11">
        <f t="shared" si="2"/>
        <v>26057.635500000004</v>
      </c>
      <c r="I18" s="13">
        <f t="shared" si="3"/>
        <v>163203.08550000002</v>
      </c>
      <c r="J18" s="11">
        <f t="shared" si="8"/>
        <v>181336.76166666669</v>
      </c>
      <c r="K18" s="12">
        <f t="shared" si="4"/>
        <v>185458.05170454548</v>
      </c>
      <c r="L18" s="12">
        <f t="shared" si="5"/>
        <v>192003.63000000003</v>
      </c>
      <c r="M18" s="12">
        <f t="shared" si="6"/>
        <v>204003.856875</v>
      </c>
      <c r="N18" s="12">
        <f t="shared" si="7"/>
        <v>217604.11400000003</v>
      </c>
    </row>
    <row r="19" spans="1:14" ht="22.5" hidden="1" customHeight="1">
      <c r="A19" s="1" t="s">
        <v>40</v>
      </c>
      <c r="B19" s="3" t="s">
        <v>41</v>
      </c>
      <c r="C19" s="1" t="s">
        <v>18</v>
      </c>
      <c r="D19" s="1" t="s">
        <v>42</v>
      </c>
      <c r="E19" s="2">
        <v>295352</v>
      </c>
      <c r="F19" s="1">
        <v>1</v>
      </c>
      <c r="G19" s="11">
        <f t="shared" si="1"/>
        <v>191978.8</v>
      </c>
      <c r="H19" s="11">
        <f t="shared" si="2"/>
        <v>36475.972000000002</v>
      </c>
      <c r="I19" s="13">
        <f t="shared" si="3"/>
        <v>228454.772</v>
      </c>
      <c r="J19" s="11">
        <f t="shared" si="8"/>
        <v>253838.63555555555</v>
      </c>
      <c r="K19" s="12">
        <f t="shared" si="4"/>
        <v>259607.69545454546</v>
      </c>
      <c r="L19" s="12">
        <f t="shared" si="5"/>
        <v>268770.32</v>
      </c>
      <c r="M19" s="12">
        <f t="shared" si="6"/>
        <v>285568.46499999997</v>
      </c>
      <c r="N19" s="12">
        <f t="shared" si="7"/>
        <v>304606.36266666668</v>
      </c>
    </row>
    <row r="20" spans="1:14" ht="22.5" hidden="1" customHeight="1">
      <c r="A20" s="1" t="s">
        <v>43</v>
      </c>
      <c r="B20" s="3" t="s">
        <v>44</v>
      </c>
      <c r="C20" s="1" t="s">
        <v>15</v>
      </c>
      <c r="D20" s="1" t="s">
        <v>42</v>
      </c>
      <c r="E20" s="2">
        <v>270214</v>
      </c>
      <c r="F20" s="1">
        <v>1</v>
      </c>
      <c r="G20" s="11">
        <f t="shared" si="1"/>
        <v>175639.1</v>
      </c>
      <c r="H20" s="11">
        <f t="shared" si="2"/>
        <v>33371.429000000004</v>
      </c>
      <c r="I20" s="13">
        <f t="shared" si="3"/>
        <v>209010.52900000001</v>
      </c>
      <c r="J20" s="11">
        <f t="shared" si="8"/>
        <v>232233.92111111112</v>
      </c>
      <c r="K20" s="12">
        <f t="shared" si="4"/>
        <v>237511.96477272728</v>
      </c>
      <c r="L20" s="12">
        <f t="shared" si="5"/>
        <v>245894.74000000002</v>
      </c>
      <c r="M20" s="12">
        <f t="shared" si="6"/>
        <v>261263.16125</v>
      </c>
      <c r="N20" s="12">
        <f t="shared" si="7"/>
        <v>278680.70533333335</v>
      </c>
    </row>
    <row r="21" spans="1:14" ht="22.5" hidden="1" customHeight="1">
      <c r="A21" s="1">
        <v>150981</v>
      </c>
      <c r="B21" s="3" t="s">
        <v>45</v>
      </c>
      <c r="C21" s="1" t="s">
        <v>25</v>
      </c>
      <c r="D21" s="1" t="s">
        <v>46</v>
      </c>
      <c r="E21" s="2">
        <v>237030</v>
      </c>
      <c r="F21" s="1">
        <v>9</v>
      </c>
      <c r="G21" s="11">
        <f t="shared" si="1"/>
        <v>154069.5</v>
      </c>
      <c r="H21" s="11">
        <f t="shared" si="2"/>
        <v>29273.205000000002</v>
      </c>
      <c r="I21" s="13">
        <f t="shared" si="3"/>
        <v>183342.70500000002</v>
      </c>
      <c r="J21" s="11">
        <f t="shared" si="8"/>
        <v>203714.11666666667</v>
      </c>
      <c r="K21" s="12">
        <f t="shared" si="4"/>
        <v>208343.98295454547</v>
      </c>
      <c r="L21" s="12">
        <f t="shared" si="5"/>
        <v>215697.30000000002</v>
      </c>
      <c r="M21" s="12">
        <f t="shared" si="6"/>
        <v>229178.38125000001</v>
      </c>
      <c r="N21" s="12">
        <f t="shared" si="7"/>
        <v>244456.94000000003</v>
      </c>
    </row>
    <row r="22" spans="1:14" ht="22.5" hidden="1" customHeight="1">
      <c r="A22" s="1">
        <v>150975</v>
      </c>
      <c r="B22" s="3" t="s">
        <v>47</v>
      </c>
      <c r="C22" s="1" t="s">
        <v>22</v>
      </c>
      <c r="D22" s="1" t="s">
        <v>46</v>
      </c>
      <c r="E22" s="2">
        <v>203063</v>
      </c>
      <c r="F22" s="1" t="s">
        <v>5</v>
      </c>
      <c r="G22" s="11">
        <f t="shared" si="1"/>
        <v>131990.95000000001</v>
      </c>
      <c r="H22" s="11">
        <f t="shared" si="2"/>
        <v>25078.280500000001</v>
      </c>
      <c r="I22" s="13">
        <f t="shared" si="3"/>
        <v>157069.23050000001</v>
      </c>
      <c r="J22" s="11">
        <f t="shared" si="8"/>
        <v>174521.36722222224</v>
      </c>
      <c r="K22" s="12">
        <f t="shared" si="4"/>
        <v>178487.76193181818</v>
      </c>
      <c r="L22" s="12">
        <f t="shared" si="5"/>
        <v>184787.33000000002</v>
      </c>
      <c r="M22" s="12">
        <f t="shared" si="6"/>
        <v>196336.53812499999</v>
      </c>
      <c r="N22" s="12">
        <f t="shared" si="7"/>
        <v>209425.64066666667</v>
      </c>
    </row>
    <row r="23" spans="1:14" ht="22.5" hidden="1" customHeight="1">
      <c r="A23" s="1">
        <v>150602</v>
      </c>
      <c r="B23" s="3" t="s">
        <v>48</v>
      </c>
      <c r="C23" s="1" t="s">
        <v>15</v>
      </c>
      <c r="D23" s="1" t="s">
        <v>23</v>
      </c>
      <c r="E23" s="2">
        <v>198558</v>
      </c>
      <c r="F23" s="1" t="s">
        <v>5</v>
      </c>
      <c r="G23" s="11">
        <f t="shared" si="1"/>
        <v>129062.70000000001</v>
      </c>
      <c r="H23" s="11">
        <f t="shared" si="2"/>
        <v>24521.913000000004</v>
      </c>
      <c r="I23" s="13">
        <f t="shared" si="3"/>
        <v>153584.61300000001</v>
      </c>
      <c r="J23" s="11">
        <f t="shared" si="8"/>
        <v>170649.57</v>
      </c>
      <c r="K23" s="12">
        <f t="shared" si="4"/>
        <v>174527.96931818183</v>
      </c>
      <c r="L23" s="12">
        <f t="shared" si="5"/>
        <v>180687.78000000003</v>
      </c>
      <c r="M23" s="12">
        <f t="shared" si="6"/>
        <v>191980.76625000002</v>
      </c>
      <c r="N23" s="12">
        <f t="shared" si="7"/>
        <v>204779.48400000003</v>
      </c>
    </row>
    <row r="24" spans="1:14" ht="22.5" hidden="1" customHeight="1">
      <c r="A24" s="1">
        <v>108730</v>
      </c>
      <c r="B24" s="3" t="s">
        <v>49</v>
      </c>
      <c r="C24" s="1" t="s">
        <v>25</v>
      </c>
      <c r="D24" s="1" t="s">
        <v>16</v>
      </c>
      <c r="E24" s="2">
        <v>363440</v>
      </c>
      <c r="F24" s="1" t="s">
        <v>5</v>
      </c>
      <c r="G24" s="11">
        <f t="shared" si="1"/>
        <v>236236</v>
      </c>
      <c r="H24" s="11">
        <f t="shared" si="2"/>
        <v>44884.840000000004</v>
      </c>
      <c r="I24" s="13">
        <f t="shared" si="3"/>
        <v>281120.84000000003</v>
      </c>
      <c r="J24" s="11">
        <f t="shared" si="8"/>
        <v>312356.48888888891</v>
      </c>
      <c r="K24" s="12">
        <f t="shared" si="4"/>
        <v>319455.5</v>
      </c>
      <c r="L24" s="12">
        <f t="shared" si="5"/>
        <v>330730.40000000002</v>
      </c>
      <c r="M24" s="12">
        <f t="shared" si="6"/>
        <v>351401.05</v>
      </c>
      <c r="N24" s="12">
        <f t="shared" si="7"/>
        <v>374827.78666666668</v>
      </c>
    </row>
    <row r="25" spans="1:14" ht="22.5" hidden="1" customHeight="1">
      <c r="A25" s="1">
        <v>108681</v>
      </c>
      <c r="B25" s="3" t="s">
        <v>50</v>
      </c>
      <c r="C25" s="1" t="s">
        <v>18</v>
      </c>
      <c r="D25" s="1" t="s">
        <v>16</v>
      </c>
      <c r="E25" s="2">
        <v>209281</v>
      </c>
      <c r="F25" s="1">
        <v>1</v>
      </c>
      <c r="G25" s="11">
        <f t="shared" si="1"/>
        <v>136032.65000000002</v>
      </c>
      <c r="H25" s="11">
        <f t="shared" si="2"/>
        <v>25846.203500000003</v>
      </c>
      <c r="I25" s="13">
        <f t="shared" si="3"/>
        <v>161878.85350000003</v>
      </c>
      <c r="J25" s="11">
        <f t="shared" si="8"/>
        <v>179865.3927777778</v>
      </c>
      <c r="K25" s="12">
        <f t="shared" si="4"/>
        <v>183953.24261363639</v>
      </c>
      <c r="L25" s="12">
        <f t="shared" si="5"/>
        <v>190445.71000000005</v>
      </c>
      <c r="M25" s="12">
        <f t="shared" si="6"/>
        <v>202348.56687500002</v>
      </c>
      <c r="N25" s="12">
        <f t="shared" si="7"/>
        <v>215838.47133333338</v>
      </c>
    </row>
    <row r="26" spans="1:14" ht="22.5" hidden="1" customHeight="1">
      <c r="A26" s="1">
        <v>108209</v>
      </c>
      <c r="B26" s="3" t="s">
        <v>51</v>
      </c>
      <c r="C26" s="1" t="s">
        <v>15</v>
      </c>
      <c r="D26" s="1" t="s">
        <v>16</v>
      </c>
      <c r="E26" s="2">
        <v>231119</v>
      </c>
      <c r="F26" s="1">
        <v>2</v>
      </c>
      <c r="G26" s="11">
        <f t="shared" si="1"/>
        <v>150227.35</v>
      </c>
      <c r="H26" s="11">
        <f t="shared" si="2"/>
        <v>28543.196500000002</v>
      </c>
      <c r="I26" s="13">
        <f t="shared" si="3"/>
        <v>178770.5465</v>
      </c>
      <c r="J26" s="11">
        <f t="shared" si="8"/>
        <v>198633.94055555554</v>
      </c>
      <c r="K26" s="12">
        <f t="shared" si="4"/>
        <v>203148.34829545455</v>
      </c>
      <c r="L26" s="12">
        <f t="shared" si="5"/>
        <v>210318.29</v>
      </c>
      <c r="M26" s="12">
        <f t="shared" si="6"/>
        <v>223463.18312499998</v>
      </c>
      <c r="N26" s="12">
        <f t="shared" si="7"/>
        <v>238360.72866666666</v>
      </c>
    </row>
    <row r="27" spans="1:14" ht="22.5" hidden="1" customHeight="1">
      <c r="A27" s="1">
        <v>110903</v>
      </c>
      <c r="B27" s="3" t="s">
        <v>52</v>
      </c>
      <c r="C27" s="1" t="s">
        <v>25</v>
      </c>
      <c r="D27" s="1" t="s">
        <v>34</v>
      </c>
      <c r="E27" s="2">
        <v>16517</v>
      </c>
      <c r="F27" s="1">
        <v>1</v>
      </c>
      <c r="G27" s="11">
        <f t="shared" si="1"/>
        <v>10736.05</v>
      </c>
      <c r="H27" s="11">
        <f t="shared" si="2"/>
        <v>2039.8494999999998</v>
      </c>
      <c r="I27" s="13">
        <f t="shared" si="3"/>
        <v>12775.8995</v>
      </c>
      <c r="J27" s="11">
        <f t="shared" si="8"/>
        <v>14195.443888888887</v>
      </c>
      <c r="K27" s="12">
        <f t="shared" si="4"/>
        <v>14518.067613636364</v>
      </c>
      <c r="L27" s="12">
        <f t="shared" si="5"/>
        <v>15030.47</v>
      </c>
      <c r="M27" s="12">
        <f t="shared" si="6"/>
        <v>15969.874374999999</v>
      </c>
      <c r="N27" s="12">
        <f t="shared" si="7"/>
        <v>17034.532666666666</v>
      </c>
    </row>
    <row r="28" spans="1:14" ht="22.5" hidden="1" customHeight="1">
      <c r="A28" s="1">
        <v>112600</v>
      </c>
      <c r="B28" s="3" t="s">
        <v>53</v>
      </c>
      <c r="C28" s="1" t="s">
        <v>22</v>
      </c>
      <c r="D28" s="1" t="s">
        <v>54</v>
      </c>
      <c r="E28" s="2">
        <v>210949</v>
      </c>
      <c r="F28" s="1">
        <v>2</v>
      </c>
      <c r="G28" s="11">
        <f t="shared" si="1"/>
        <v>137116.85</v>
      </c>
      <c r="H28" s="11">
        <f t="shared" si="2"/>
        <v>26052.201500000003</v>
      </c>
      <c r="I28" s="13">
        <f t="shared" si="3"/>
        <v>163169.0515</v>
      </c>
      <c r="J28" s="11">
        <f t="shared" si="8"/>
        <v>181298.94611111112</v>
      </c>
      <c r="K28" s="12">
        <f t="shared" si="4"/>
        <v>185419.37670454546</v>
      </c>
      <c r="L28" s="12">
        <f t="shared" si="5"/>
        <v>191963.59</v>
      </c>
      <c r="M28" s="12">
        <f t="shared" si="6"/>
        <v>203961.31437499999</v>
      </c>
      <c r="N28" s="12">
        <f t="shared" si="7"/>
        <v>217558.73533333334</v>
      </c>
    </row>
    <row r="29" spans="1:14" ht="22.5" hidden="1" customHeight="1">
      <c r="A29" s="1">
        <v>111735</v>
      </c>
      <c r="B29" s="3" t="s">
        <v>55</v>
      </c>
      <c r="C29" s="1" t="s">
        <v>18</v>
      </c>
      <c r="D29" s="1" t="s">
        <v>54</v>
      </c>
      <c r="E29" s="2">
        <v>195994</v>
      </c>
      <c r="F29" s="1">
        <v>1</v>
      </c>
      <c r="G29" s="11">
        <f t="shared" si="1"/>
        <v>127396.1</v>
      </c>
      <c r="H29" s="11">
        <f t="shared" si="2"/>
        <v>24205.259000000002</v>
      </c>
      <c r="I29" s="13">
        <f t="shared" si="3"/>
        <v>151601.359</v>
      </c>
      <c r="J29" s="11">
        <f t="shared" si="8"/>
        <v>168445.95444444445</v>
      </c>
      <c r="K29" s="12">
        <f t="shared" si="4"/>
        <v>172274.27159090908</v>
      </c>
      <c r="L29" s="12">
        <f t="shared" si="5"/>
        <v>178354.54</v>
      </c>
      <c r="M29" s="12">
        <f t="shared" si="6"/>
        <v>189501.69874999998</v>
      </c>
      <c r="N29" s="12">
        <f t="shared" si="7"/>
        <v>202135.14533333332</v>
      </c>
    </row>
    <row r="30" spans="1:14" ht="22.5" hidden="1" customHeight="1">
      <c r="A30" s="1">
        <v>150301</v>
      </c>
      <c r="B30" s="3" t="s">
        <v>56</v>
      </c>
      <c r="C30" s="1" t="s">
        <v>15</v>
      </c>
      <c r="D30" s="1" t="s">
        <v>23</v>
      </c>
      <c r="E30" s="2">
        <v>263305</v>
      </c>
      <c r="F30" s="1">
        <v>90</v>
      </c>
      <c r="G30" s="11">
        <f t="shared" si="1"/>
        <v>171148.25</v>
      </c>
      <c r="H30" s="11">
        <f t="shared" si="2"/>
        <v>32518.1675</v>
      </c>
      <c r="I30" s="13">
        <f t="shared" si="3"/>
        <v>203666.41750000001</v>
      </c>
      <c r="J30" s="11">
        <f t="shared" si="8"/>
        <v>226296.01944444445</v>
      </c>
      <c r="K30" s="12">
        <f t="shared" si="4"/>
        <v>231439.11079545456</v>
      </c>
      <c r="L30" s="12">
        <f t="shared" si="5"/>
        <v>239607.55000000002</v>
      </c>
      <c r="M30" s="12">
        <f t="shared" si="6"/>
        <v>254583.02187500001</v>
      </c>
      <c r="N30" s="12">
        <f t="shared" si="7"/>
        <v>271555.22333333333</v>
      </c>
    </row>
    <row r="31" spans="1:14" ht="22.5" hidden="1" customHeight="1">
      <c r="A31" s="1">
        <v>108962</v>
      </c>
      <c r="B31" s="3" t="s">
        <v>57</v>
      </c>
      <c r="C31" s="1" t="s">
        <v>25</v>
      </c>
      <c r="D31" s="1" t="s">
        <v>16</v>
      </c>
      <c r="E31" s="2">
        <v>334944</v>
      </c>
      <c r="F31" s="1">
        <v>1</v>
      </c>
      <c r="G31" s="11">
        <f t="shared" si="1"/>
        <v>217713.6</v>
      </c>
      <c r="H31" s="11">
        <f t="shared" si="2"/>
        <v>41365.584000000003</v>
      </c>
      <c r="I31" s="13">
        <f t="shared" si="3"/>
        <v>259079.18400000001</v>
      </c>
      <c r="J31" s="11">
        <f t="shared" si="8"/>
        <v>287865.76</v>
      </c>
      <c r="K31" s="12">
        <f t="shared" si="4"/>
        <v>294408.16363636364</v>
      </c>
      <c r="L31" s="12">
        <f t="shared" si="5"/>
        <v>304799.04000000004</v>
      </c>
      <c r="M31" s="12">
        <f t="shared" si="6"/>
        <v>323848.98</v>
      </c>
      <c r="N31" s="12">
        <f t="shared" si="7"/>
        <v>345438.91200000001</v>
      </c>
    </row>
    <row r="32" spans="1:14" ht="22.5" hidden="1" customHeight="1">
      <c r="A32" s="1">
        <v>109751</v>
      </c>
      <c r="B32" s="3" t="s">
        <v>58</v>
      </c>
      <c r="C32" s="1" t="s">
        <v>15</v>
      </c>
      <c r="D32" s="1" t="s">
        <v>29</v>
      </c>
      <c r="E32" s="2">
        <v>238093</v>
      </c>
      <c r="F32" s="1" t="s">
        <v>5</v>
      </c>
      <c r="G32" s="11">
        <f t="shared" si="1"/>
        <v>154760.45000000001</v>
      </c>
      <c r="H32" s="11">
        <f t="shared" si="2"/>
        <v>29404.485500000003</v>
      </c>
      <c r="I32" s="13">
        <f t="shared" si="3"/>
        <v>184164.93550000002</v>
      </c>
      <c r="J32" s="11">
        <f t="shared" si="8"/>
        <v>204627.70611111113</v>
      </c>
      <c r="K32" s="12">
        <f t="shared" si="4"/>
        <v>209278.33579545456</v>
      </c>
      <c r="L32" s="12">
        <f t="shared" si="5"/>
        <v>216664.63000000003</v>
      </c>
      <c r="M32" s="12">
        <f t="shared" si="6"/>
        <v>230206.16937500003</v>
      </c>
      <c r="N32" s="12">
        <f t="shared" si="7"/>
        <v>245553.24733333336</v>
      </c>
    </row>
    <row r="33" spans="1:14" ht="22.5" hidden="1" customHeight="1">
      <c r="A33" s="1">
        <v>109856</v>
      </c>
      <c r="B33" s="3" t="s">
        <v>59</v>
      </c>
      <c r="C33" s="1" t="s">
        <v>18</v>
      </c>
      <c r="D33" s="1" t="s">
        <v>29</v>
      </c>
      <c r="E33" s="2">
        <v>216764</v>
      </c>
      <c r="F33" s="1" t="s">
        <v>5</v>
      </c>
      <c r="G33" s="11">
        <f t="shared" si="1"/>
        <v>140896.6</v>
      </c>
      <c r="H33" s="11">
        <f t="shared" si="2"/>
        <v>26770.354000000003</v>
      </c>
      <c r="I33" s="13">
        <f t="shared" si="3"/>
        <v>167666.954</v>
      </c>
      <c r="J33" s="11">
        <f t="shared" si="8"/>
        <v>186296.61555555556</v>
      </c>
      <c r="K33" s="12">
        <f t="shared" si="4"/>
        <v>190530.62954545455</v>
      </c>
      <c r="L33" s="12">
        <f t="shared" si="5"/>
        <v>197255.24</v>
      </c>
      <c r="M33" s="12">
        <f t="shared" si="6"/>
        <v>209583.69249999998</v>
      </c>
      <c r="N33" s="12">
        <f t="shared" si="7"/>
        <v>223555.93866666665</v>
      </c>
    </row>
    <row r="34" spans="1:14" ht="22.5" hidden="1" customHeight="1">
      <c r="A34" s="1">
        <v>108461</v>
      </c>
      <c r="B34" s="3" t="s">
        <v>60</v>
      </c>
      <c r="C34" s="1" t="s">
        <v>15</v>
      </c>
      <c r="D34" s="1" t="s">
        <v>29</v>
      </c>
      <c r="E34" s="2">
        <v>217284</v>
      </c>
      <c r="F34" s="1" t="s">
        <v>5</v>
      </c>
      <c r="G34" s="11">
        <f t="shared" si="1"/>
        <v>141234.6</v>
      </c>
      <c r="H34" s="11">
        <f t="shared" si="2"/>
        <v>26834.574000000001</v>
      </c>
      <c r="I34" s="13">
        <f t="shared" si="3"/>
        <v>168069.174</v>
      </c>
      <c r="J34" s="11">
        <f t="shared" si="8"/>
        <v>186743.52666666667</v>
      </c>
      <c r="K34" s="12">
        <f t="shared" si="4"/>
        <v>190987.69772727272</v>
      </c>
      <c r="L34" s="12">
        <f t="shared" si="5"/>
        <v>197728.44</v>
      </c>
      <c r="M34" s="12">
        <f t="shared" si="6"/>
        <v>210086.4675</v>
      </c>
      <c r="N34" s="12">
        <f t="shared" si="7"/>
        <v>224092.23199999999</v>
      </c>
    </row>
    <row r="35" spans="1:14" ht="22.5" hidden="1" customHeight="1">
      <c r="A35" s="1">
        <v>109857</v>
      </c>
      <c r="B35" s="3" t="s">
        <v>61</v>
      </c>
      <c r="C35" s="1" t="s">
        <v>22</v>
      </c>
      <c r="D35" s="1" t="s">
        <v>29</v>
      </c>
      <c r="E35" s="2">
        <v>250236</v>
      </c>
      <c r="F35" s="1" t="s">
        <v>5</v>
      </c>
      <c r="G35" s="11">
        <f t="shared" si="1"/>
        <v>162653.40000000002</v>
      </c>
      <c r="H35" s="11">
        <f t="shared" si="2"/>
        <v>30904.146000000004</v>
      </c>
      <c r="I35" s="13">
        <f t="shared" si="3"/>
        <v>193557.54600000003</v>
      </c>
      <c r="J35" s="11">
        <f t="shared" si="8"/>
        <v>215063.94000000003</v>
      </c>
      <c r="K35" s="12">
        <f t="shared" si="4"/>
        <v>219951.75681818186</v>
      </c>
      <c r="L35" s="12">
        <f t="shared" si="5"/>
        <v>227714.76000000004</v>
      </c>
      <c r="M35" s="12">
        <f t="shared" si="6"/>
        <v>241946.93250000002</v>
      </c>
      <c r="N35" s="12">
        <f t="shared" si="7"/>
        <v>258076.72800000003</v>
      </c>
    </row>
    <row r="36" spans="1:14" ht="22.5" hidden="1" customHeight="1">
      <c r="A36" s="1">
        <v>108801</v>
      </c>
      <c r="B36" s="3" t="s">
        <v>62</v>
      </c>
      <c r="C36" s="1" t="s">
        <v>25</v>
      </c>
      <c r="D36" s="1" t="s">
        <v>29</v>
      </c>
      <c r="E36" s="2">
        <v>248316</v>
      </c>
      <c r="F36" s="1" t="s">
        <v>5</v>
      </c>
      <c r="G36" s="11">
        <f t="shared" si="1"/>
        <v>161405.40000000002</v>
      </c>
      <c r="H36" s="11">
        <f t="shared" si="2"/>
        <v>30667.026000000005</v>
      </c>
      <c r="I36" s="13">
        <f t="shared" si="3"/>
        <v>192072.42600000004</v>
      </c>
      <c r="J36" s="11">
        <f t="shared" si="8"/>
        <v>213413.8066666667</v>
      </c>
      <c r="K36" s="12">
        <f t="shared" si="4"/>
        <v>218264.12045454548</v>
      </c>
      <c r="L36" s="12">
        <f t="shared" si="5"/>
        <v>225967.56000000006</v>
      </c>
      <c r="M36" s="12">
        <f t="shared" si="6"/>
        <v>240090.53250000003</v>
      </c>
      <c r="N36" s="12">
        <f t="shared" si="7"/>
        <v>256096.56800000006</v>
      </c>
    </row>
    <row r="37" spans="1:14" ht="22.5" hidden="1" customHeight="1">
      <c r="A37" s="1">
        <v>112580</v>
      </c>
      <c r="B37" s="3" t="s">
        <v>63</v>
      </c>
      <c r="C37" s="1" t="s">
        <v>15</v>
      </c>
      <c r="D37" s="1" t="s">
        <v>29</v>
      </c>
      <c r="E37" s="2">
        <v>210940</v>
      </c>
      <c r="F37" s="1">
        <v>79</v>
      </c>
      <c r="G37" s="11">
        <f t="shared" si="1"/>
        <v>137111</v>
      </c>
      <c r="H37" s="11">
        <f t="shared" si="2"/>
        <v>26051.09</v>
      </c>
      <c r="I37" s="13">
        <f t="shared" si="3"/>
        <v>163162.09</v>
      </c>
      <c r="J37" s="11">
        <f t="shared" si="8"/>
        <v>181291.2111111111</v>
      </c>
      <c r="K37" s="12">
        <f t="shared" si="4"/>
        <v>185411.46590909091</v>
      </c>
      <c r="L37" s="12">
        <f t="shared" si="5"/>
        <v>191955.4</v>
      </c>
      <c r="M37" s="12">
        <f t="shared" si="6"/>
        <v>203952.61249999999</v>
      </c>
      <c r="N37" s="12">
        <f t="shared" si="7"/>
        <v>217549.45333333334</v>
      </c>
    </row>
    <row r="38" spans="1:14" ht="22.5" hidden="1" customHeight="1">
      <c r="A38" s="1">
        <v>112262</v>
      </c>
      <c r="B38" s="3" t="s">
        <v>64</v>
      </c>
      <c r="C38" s="1" t="s">
        <v>22</v>
      </c>
      <c r="D38" s="1" t="s">
        <v>19</v>
      </c>
      <c r="E38" s="2">
        <v>206586</v>
      </c>
      <c r="F38" s="1">
        <v>1</v>
      </c>
      <c r="G38" s="11">
        <f t="shared" si="1"/>
        <v>134280.90000000002</v>
      </c>
      <c r="H38" s="11">
        <f t="shared" si="2"/>
        <v>25513.371000000006</v>
      </c>
      <c r="I38" s="13">
        <f t="shared" si="3"/>
        <v>159794.27100000004</v>
      </c>
      <c r="J38" s="11">
        <f t="shared" si="8"/>
        <v>177549.19000000003</v>
      </c>
      <c r="K38" s="12">
        <f t="shared" si="4"/>
        <v>181584.39886363639</v>
      </c>
      <c r="L38" s="12">
        <f t="shared" si="5"/>
        <v>187993.26000000004</v>
      </c>
      <c r="M38" s="12">
        <f t="shared" si="6"/>
        <v>199742.83875000002</v>
      </c>
      <c r="N38" s="12">
        <f t="shared" si="7"/>
        <v>213059.02800000005</v>
      </c>
    </row>
    <row r="39" spans="1:14" ht="22.5" hidden="1" customHeight="1">
      <c r="A39" s="1">
        <v>111267</v>
      </c>
      <c r="B39" s="3" t="s">
        <v>65</v>
      </c>
      <c r="C39" s="1" t="s">
        <v>22</v>
      </c>
      <c r="D39" s="1" t="s">
        <v>19</v>
      </c>
      <c r="E39" s="2">
        <v>302912</v>
      </c>
      <c r="F39" s="1">
        <v>1</v>
      </c>
      <c r="G39" s="11">
        <f t="shared" si="1"/>
        <v>196892.79999999999</v>
      </c>
      <c r="H39" s="11">
        <f t="shared" si="2"/>
        <v>37409.631999999998</v>
      </c>
      <c r="I39" s="13">
        <f t="shared" si="3"/>
        <v>234302.43199999997</v>
      </c>
      <c r="J39" s="11">
        <f t="shared" si="8"/>
        <v>260336.03555555551</v>
      </c>
      <c r="K39" s="12">
        <f t="shared" si="4"/>
        <v>266252.76363636361</v>
      </c>
      <c r="L39" s="12">
        <f t="shared" si="5"/>
        <v>275649.91999999998</v>
      </c>
      <c r="M39" s="12">
        <f t="shared" si="6"/>
        <v>292878.03999999992</v>
      </c>
      <c r="N39" s="12">
        <f t="shared" si="7"/>
        <v>312403.24266666663</v>
      </c>
    </row>
    <row r="40" spans="1:14" ht="22.5" hidden="1" customHeight="1">
      <c r="A40" s="1">
        <v>111563</v>
      </c>
      <c r="B40" s="3" t="s">
        <v>66</v>
      </c>
      <c r="C40" s="1" t="s">
        <v>39</v>
      </c>
      <c r="D40" s="1" t="s">
        <v>19</v>
      </c>
      <c r="E40" s="2">
        <v>216902</v>
      </c>
      <c r="F40" s="1">
        <v>1</v>
      </c>
      <c r="G40" s="11">
        <f t="shared" si="1"/>
        <v>140986.29999999999</v>
      </c>
      <c r="H40" s="11">
        <f t="shared" si="2"/>
        <v>26787.396999999997</v>
      </c>
      <c r="I40" s="13">
        <f t="shared" si="3"/>
        <v>167773.69699999999</v>
      </c>
      <c r="J40" s="11">
        <f t="shared" si="8"/>
        <v>186415.21888888886</v>
      </c>
      <c r="K40" s="12">
        <f t="shared" si="4"/>
        <v>190651.92840909091</v>
      </c>
      <c r="L40" s="12">
        <f t="shared" si="5"/>
        <v>197380.81999999998</v>
      </c>
      <c r="M40" s="12">
        <f t="shared" si="6"/>
        <v>209717.12124999997</v>
      </c>
      <c r="N40" s="12">
        <f t="shared" si="7"/>
        <v>223698.26266666665</v>
      </c>
    </row>
    <row r="41" spans="1:14" ht="22.5" hidden="1" customHeight="1">
      <c r="A41" s="1" t="s">
        <v>67</v>
      </c>
      <c r="B41" s="3" t="s">
        <v>68</v>
      </c>
      <c r="C41" s="1" t="s">
        <v>25</v>
      </c>
      <c r="D41" s="1" t="s">
        <v>69</v>
      </c>
      <c r="E41" s="2">
        <v>386216</v>
      </c>
      <c r="F41" s="1">
        <v>1</v>
      </c>
      <c r="G41" s="11">
        <f t="shared" si="1"/>
        <v>251040.4</v>
      </c>
      <c r="H41" s="11">
        <f t="shared" si="2"/>
        <v>47697.675999999999</v>
      </c>
      <c r="I41" s="13">
        <f t="shared" si="3"/>
        <v>298738.076</v>
      </c>
      <c r="J41" s="11">
        <f t="shared" si="8"/>
        <v>331931.19555555558</v>
      </c>
      <c r="K41" s="12">
        <f t="shared" si="4"/>
        <v>339475.08636363636</v>
      </c>
      <c r="L41" s="12">
        <f t="shared" si="5"/>
        <v>351456.56</v>
      </c>
      <c r="M41" s="12">
        <f t="shared" si="6"/>
        <v>373422.59499999997</v>
      </c>
      <c r="N41" s="12">
        <f t="shared" si="7"/>
        <v>398317.43466666667</v>
      </c>
    </row>
    <row r="42" spans="1:14" ht="22.5" hidden="1" customHeight="1">
      <c r="A42" s="1">
        <v>150427</v>
      </c>
      <c r="B42" s="3" t="s">
        <v>70</v>
      </c>
      <c r="C42" s="1" t="s">
        <v>18</v>
      </c>
      <c r="D42" s="1" t="s">
        <v>46</v>
      </c>
      <c r="E42" s="2">
        <v>183720</v>
      </c>
      <c r="F42" s="1" t="s">
        <v>5</v>
      </c>
      <c r="G42" s="11">
        <f t="shared" si="1"/>
        <v>119418</v>
      </c>
      <c r="H42" s="11">
        <f t="shared" si="2"/>
        <v>22689.420000000002</v>
      </c>
      <c r="I42" s="13">
        <f t="shared" si="3"/>
        <v>142107.42000000001</v>
      </c>
      <c r="J42" s="11">
        <f t="shared" si="8"/>
        <v>157897.13333333333</v>
      </c>
      <c r="K42" s="12">
        <f t="shared" si="4"/>
        <v>161485.70454545456</v>
      </c>
      <c r="L42" s="12">
        <f t="shared" si="5"/>
        <v>167185.20000000001</v>
      </c>
      <c r="M42" s="12">
        <f t="shared" si="6"/>
        <v>177634.27499999999</v>
      </c>
      <c r="N42" s="12">
        <f t="shared" si="7"/>
        <v>189476.56000000003</v>
      </c>
    </row>
    <row r="43" spans="1:14" ht="22.5" hidden="1" customHeight="1">
      <c r="A43" s="1">
        <v>150957</v>
      </c>
      <c r="B43" s="3" t="s">
        <v>71</v>
      </c>
      <c r="C43" s="1" t="s">
        <v>15</v>
      </c>
      <c r="D43" s="1" t="s">
        <v>46</v>
      </c>
      <c r="E43" s="2">
        <v>192901</v>
      </c>
      <c r="F43" s="1" t="s">
        <v>5</v>
      </c>
      <c r="G43" s="11">
        <f t="shared" si="1"/>
        <v>125385.65000000001</v>
      </c>
      <c r="H43" s="11">
        <f t="shared" si="2"/>
        <v>23823.273500000003</v>
      </c>
      <c r="I43" s="13">
        <f t="shared" si="3"/>
        <v>149208.9235</v>
      </c>
      <c r="J43" s="11">
        <f t="shared" si="8"/>
        <v>165787.69277777779</v>
      </c>
      <c r="K43" s="12">
        <f t="shared" si="4"/>
        <v>169555.59488636363</v>
      </c>
      <c r="L43" s="12">
        <f t="shared" si="5"/>
        <v>175539.91</v>
      </c>
      <c r="M43" s="12">
        <f t="shared" si="6"/>
        <v>186511.15437499998</v>
      </c>
      <c r="N43" s="12">
        <f t="shared" si="7"/>
        <v>198945.23133333333</v>
      </c>
    </row>
    <row r="44" spans="1:14" ht="22.5" hidden="1" customHeight="1">
      <c r="A44" s="1">
        <v>112787</v>
      </c>
      <c r="B44" s="3" t="s">
        <v>72</v>
      </c>
      <c r="C44" s="1" t="s">
        <v>18</v>
      </c>
      <c r="D44" s="1" t="s">
        <v>73</v>
      </c>
      <c r="E44" s="2">
        <v>215323</v>
      </c>
      <c r="F44" s="1">
        <v>1</v>
      </c>
      <c r="G44" s="11">
        <f t="shared" si="1"/>
        <v>139959.95000000001</v>
      </c>
      <c r="H44" s="11">
        <f t="shared" si="2"/>
        <v>26592.390500000001</v>
      </c>
      <c r="I44" s="13">
        <f t="shared" si="3"/>
        <v>166552.34050000002</v>
      </c>
      <c r="J44" s="11">
        <f t="shared" si="8"/>
        <v>185058.15611111114</v>
      </c>
      <c r="K44" s="12">
        <f t="shared" si="4"/>
        <v>189264.02329545456</v>
      </c>
      <c r="L44" s="12">
        <f t="shared" si="5"/>
        <v>195943.93000000002</v>
      </c>
      <c r="M44" s="12">
        <f t="shared" si="6"/>
        <v>208190.425625</v>
      </c>
      <c r="N44" s="12">
        <f t="shared" si="7"/>
        <v>222069.78733333337</v>
      </c>
    </row>
    <row r="45" spans="1:14" ht="22.5" hidden="1" customHeight="1">
      <c r="A45" s="1">
        <v>112843</v>
      </c>
      <c r="B45" s="3" t="s">
        <v>74</v>
      </c>
      <c r="C45" s="1" t="s">
        <v>39</v>
      </c>
      <c r="D45" s="1" t="s">
        <v>73</v>
      </c>
      <c r="E45" s="2">
        <v>229017</v>
      </c>
      <c r="F45" s="1" t="s">
        <v>5</v>
      </c>
      <c r="G45" s="11">
        <f t="shared" si="1"/>
        <v>148861.04999999999</v>
      </c>
      <c r="H45" s="11">
        <f t="shared" si="2"/>
        <v>28283.599499999997</v>
      </c>
      <c r="I45" s="13">
        <f t="shared" si="3"/>
        <v>177144.6495</v>
      </c>
      <c r="J45" s="11">
        <f t="shared" si="8"/>
        <v>196827.38833333334</v>
      </c>
      <c r="K45" s="12">
        <f t="shared" si="4"/>
        <v>201300.73806818182</v>
      </c>
      <c r="L45" s="12">
        <f t="shared" si="5"/>
        <v>208405.47</v>
      </c>
      <c r="M45" s="12">
        <f t="shared" si="6"/>
        <v>221430.81187499998</v>
      </c>
      <c r="N45" s="12">
        <f t="shared" si="7"/>
        <v>236192.86600000001</v>
      </c>
    </row>
    <row r="46" spans="1:14" ht="22.5" hidden="1" customHeight="1">
      <c r="A46" s="1">
        <v>150021</v>
      </c>
      <c r="B46" s="3" t="s">
        <v>75</v>
      </c>
      <c r="C46" s="1" t="s">
        <v>15</v>
      </c>
      <c r="D46" s="1" t="s">
        <v>73</v>
      </c>
      <c r="E46" s="2">
        <v>200310</v>
      </c>
      <c r="F46" s="1">
        <v>2</v>
      </c>
      <c r="G46" s="11">
        <f t="shared" si="1"/>
        <v>130201.5</v>
      </c>
      <c r="H46" s="11">
        <f t="shared" si="2"/>
        <v>24738.285</v>
      </c>
      <c r="I46" s="13">
        <f t="shared" si="3"/>
        <v>154939.785</v>
      </c>
      <c r="J46" s="11">
        <f t="shared" si="8"/>
        <v>172155.31666666668</v>
      </c>
      <c r="K46" s="12">
        <f t="shared" si="4"/>
        <v>176067.9375</v>
      </c>
      <c r="L46" s="12">
        <f t="shared" si="5"/>
        <v>182282.1</v>
      </c>
      <c r="M46" s="12">
        <f t="shared" si="6"/>
        <v>193674.73124999998</v>
      </c>
      <c r="N46" s="12">
        <f t="shared" si="7"/>
        <v>206586.38</v>
      </c>
    </row>
    <row r="47" spans="1:14" ht="22.5" hidden="1" customHeight="1">
      <c r="A47" s="1">
        <v>150022</v>
      </c>
      <c r="B47" s="3" t="s">
        <v>76</v>
      </c>
      <c r="C47" s="1" t="s">
        <v>22</v>
      </c>
      <c r="D47" s="1" t="s">
        <v>73</v>
      </c>
      <c r="E47" s="2">
        <v>223430</v>
      </c>
      <c r="F47" s="1">
        <v>1</v>
      </c>
      <c r="G47" s="11">
        <f t="shared" si="1"/>
        <v>145229.5</v>
      </c>
      <c r="H47" s="11">
        <f t="shared" si="2"/>
        <v>27593.605</v>
      </c>
      <c r="I47" s="13">
        <f t="shared" si="3"/>
        <v>172823.10500000001</v>
      </c>
      <c r="J47" s="11">
        <f t="shared" si="8"/>
        <v>192025.67222222223</v>
      </c>
      <c r="K47" s="12">
        <f t="shared" si="4"/>
        <v>196389.89204545456</v>
      </c>
      <c r="L47" s="12">
        <f t="shared" si="5"/>
        <v>203321.30000000002</v>
      </c>
      <c r="M47" s="12">
        <f t="shared" si="6"/>
        <v>216028.88125000001</v>
      </c>
      <c r="N47" s="12">
        <f t="shared" si="7"/>
        <v>230430.80666666667</v>
      </c>
    </row>
    <row r="48" spans="1:14" ht="22.5" hidden="1" customHeight="1">
      <c r="A48" s="1">
        <v>150837</v>
      </c>
      <c r="B48" s="3" t="s">
        <v>77</v>
      </c>
      <c r="C48" s="1" t="s">
        <v>39</v>
      </c>
      <c r="D48" s="1" t="s">
        <v>19</v>
      </c>
      <c r="E48" s="2">
        <v>240798</v>
      </c>
      <c r="F48" s="1">
        <v>43</v>
      </c>
      <c r="G48" s="11">
        <f t="shared" si="1"/>
        <v>156518.70000000001</v>
      </c>
      <c r="H48" s="11">
        <f t="shared" si="2"/>
        <v>29738.553000000004</v>
      </c>
      <c r="I48" s="13">
        <f t="shared" si="3"/>
        <v>186257.25300000003</v>
      </c>
      <c r="J48" s="11">
        <f t="shared" si="8"/>
        <v>206952.50333333336</v>
      </c>
      <c r="K48" s="12">
        <f t="shared" si="4"/>
        <v>211655.96931818186</v>
      </c>
      <c r="L48" s="12">
        <f t="shared" si="5"/>
        <v>219126.18000000002</v>
      </c>
      <c r="M48" s="12">
        <f t="shared" si="6"/>
        <v>232821.56625000003</v>
      </c>
      <c r="N48" s="12">
        <f t="shared" si="7"/>
        <v>248343.00400000004</v>
      </c>
    </row>
    <row r="49" spans="1:14" ht="22.5" hidden="1" customHeight="1">
      <c r="A49" s="1">
        <v>150894</v>
      </c>
      <c r="B49" s="3" t="s">
        <v>78</v>
      </c>
      <c r="C49" s="1" t="s">
        <v>18</v>
      </c>
      <c r="D49" s="1" t="s">
        <v>79</v>
      </c>
      <c r="E49" s="2">
        <v>202080</v>
      </c>
      <c r="F49" s="1">
        <v>2</v>
      </c>
      <c r="G49" s="11">
        <f t="shared" si="1"/>
        <v>131352</v>
      </c>
      <c r="H49" s="11">
        <f t="shared" si="2"/>
        <v>24956.880000000001</v>
      </c>
      <c r="I49" s="13">
        <f t="shared" si="3"/>
        <v>156308.88</v>
      </c>
      <c r="J49" s="11">
        <f t="shared" si="8"/>
        <v>173676.53333333333</v>
      </c>
      <c r="K49" s="12">
        <f t="shared" si="4"/>
        <v>177623.72727272726</v>
      </c>
      <c r="L49" s="12">
        <f t="shared" si="5"/>
        <v>183892.80000000002</v>
      </c>
      <c r="M49" s="12">
        <f t="shared" si="6"/>
        <v>195386.1</v>
      </c>
      <c r="N49" s="12">
        <f t="shared" si="7"/>
        <v>208411.84</v>
      </c>
    </row>
    <row r="50" spans="1:14" ht="22.5" hidden="1" customHeight="1">
      <c r="A50" s="1">
        <v>150320</v>
      </c>
      <c r="B50" s="3" t="s">
        <v>80</v>
      </c>
      <c r="C50" s="1" t="s">
        <v>18</v>
      </c>
      <c r="D50" s="1" t="s">
        <v>81</v>
      </c>
      <c r="E50" s="2">
        <v>223146</v>
      </c>
      <c r="F50" s="1">
        <v>2</v>
      </c>
      <c r="G50" s="11">
        <f t="shared" si="1"/>
        <v>145044.90000000002</v>
      </c>
      <c r="H50" s="11">
        <f t="shared" si="2"/>
        <v>27558.531000000006</v>
      </c>
      <c r="I50" s="13">
        <f t="shared" si="3"/>
        <v>172603.43100000004</v>
      </c>
      <c r="J50" s="11">
        <f t="shared" si="8"/>
        <v>191781.59000000005</v>
      </c>
      <c r="K50" s="12">
        <f t="shared" si="4"/>
        <v>196140.26250000004</v>
      </c>
      <c r="L50" s="12">
        <f t="shared" si="5"/>
        <v>203062.86000000004</v>
      </c>
      <c r="M50" s="12">
        <f t="shared" si="6"/>
        <v>215754.28875000004</v>
      </c>
      <c r="N50" s="12">
        <f t="shared" si="7"/>
        <v>230137.90800000005</v>
      </c>
    </row>
    <row r="51" spans="1:14" ht="22.5" hidden="1" customHeight="1">
      <c r="A51" s="1" t="s">
        <v>82</v>
      </c>
      <c r="B51" s="3" t="s">
        <v>83</v>
      </c>
      <c r="C51" s="1" t="s">
        <v>18</v>
      </c>
      <c r="D51" s="1" t="s">
        <v>84</v>
      </c>
      <c r="E51" s="2">
        <v>546733</v>
      </c>
      <c r="F51" s="1">
        <v>8</v>
      </c>
      <c r="G51" s="11">
        <f t="shared" si="1"/>
        <v>355376.45</v>
      </c>
      <c r="H51" s="11">
        <f t="shared" si="2"/>
        <v>67521.525500000003</v>
      </c>
      <c r="I51" s="13">
        <f t="shared" si="3"/>
        <v>422897.9755</v>
      </c>
      <c r="J51" s="11">
        <f t="shared" si="8"/>
        <v>469886.63944444444</v>
      </c>
      <c r="K51" s="12">
        <f t="shared" si="4"/>
        <v>480565.88124999998</v>
      </c>
      <c r="L51" s="12">
        <f t="shared" si="5"/>
        <v>497527.03</v>
      </c>
      <c r="M51" s="12">
        <f t="shared" si="6"/>
        <v>528622.46937499999</v>
      </c>
      <c r="N51" s="12">
        <f t="shared" si="7"/>
        <v>563863.96733333333</v>
      </c>
    </row>
    <row r="52" spans="1:14" ht="22.5" hidden="1" customHeight="1">
      <c r="A52" s="1">
        <v>112407</v>
      </c>
      <c r="B52" s="3" t="s">
        <v>85</v>
      </c>
      <c r="C52" s="1" t="s">
        <v>25</v>
      </c>
      <c r="D52" s="1" t="s">
        <v>86</v>
      </c>
      <c r="E52" s="2">
        <v>358509</v>
      </c>
      <c r="F52" s="1">
        <v>1</v>
      </c>
      <c r="G52" s="11">
        <f t="shared" si="1"/>
        <v>233030.85</v>
      </c>
      <c r="H52" s="11">
        <f t="shared" si="2"/>
        <v>44275.861499999999</v>
      </c>
      <c r="I52" s="13">
        <f t="shared" si="3"/>
        <v>277306.71149999998</v>
      </c>
      <c r="J52" s="11">
        <f t="shared" si="8"/>
        <v>308118.5683333333</v>
      </c>
      <c r="K52" s="12">
        <f t="shared" si="4"/>
        <v>315121.26306818181</v>
      </c>
      <c r="L52" s="12">
        <f t="shared" si="5"/>
        <v>326243.19</v>
      </c>
      <c r="M52" s="12">
        <f t="shared" si="6"/>
        <v>346633.38937499997</v>
      </c>
      <c r="N52" s="12">
        <f t="shared" si="7"/>
        <v>369742.28199999995</v>
      </c>
    </row>
    <row r="53" spans="1:14" ht="22.5" hidden="1" customHeight="1">
      <c r="A53" s="1" t="s">
        <v>87</v>
      </c>
      <c r="B53" s="3" t="s">
        <v>88</v>
      </c>
      <c r="C53" s="1" t="s">
        <v>22</v>
      </c>
      <c r="D53" s="1" t="s">
        <v>69</v>
      </c>
      <c r="E53" s="2">
        <v>670604</v>
      </c>
      <c r="F53" s="1">
        <v>10</v>
      </c>
      <c r="G53" s="11">
        <f t="shared" si="1"/>
        <v>435892.6</v>
      </c>
      <c r="H53" s="11">
        <f t="shared" si="2"/>
        <v>82819.593999999997</v>
      </c>
      <c r="I53" s="13">
        <f t="shared" si="3"/>
        <v>518712.19399999996</v>
      </c>
      <c r="J53" s="11">
        <f t="shared" si="8"/>
        <v>576346.88222222216</v>
      </c>
      <c r="K53" s="12">
        <f t="shared" si="4"/>
        <v>589445.67499999993</v>
      </c>
      <c r="L53" s="12">
        <f t="shared" si="5"/>
        <v>610249.64</v>
      </c>
      <c r="M53" s="12">
        <f t="shared" si="6"/>
        <v>648390.24249999993</v>
      </c>
      <c r="N53" s="12">
        <f t="shared" si="7"/>
        <v>691616.25866666657</v>
      </c>
    </row>
    <row r="54" spans="1:14" ht="22.5" hidden="1" customHeight="1">
      <c r="A54" s="1" t="s">
        <v>89</v>
      </c>
      <c r="B54" s="3" t="s">
        <v>90</v>
      </c>
      <c r="C54" s="1" t="s">
        <v>18</v>
      </c>
      <c r="D54" s="1" t="s">
        <v>69</v>
      </c>
      <c r="E54" s="2">
        <v>662914</v>
      </c>
      <c r="F54" s="1">
        <v>23</v>
      </c>
      <c r="G54" s="11">
        <f t="shared" si="1"/>
        <v>430894.1</v>
      </c>
      <c r="H54" s="11">
        <f t="shared" si="2"/>
        <v>81869.879000000001</v>
      </c>
      <c r="I54" s="13">
        <f t="shared" si="3"/>
        <v>512763.97899999999</v>
      </c>
      <c r="J54" s="11">
        <f t="shared" si="8"/>
        <v>569737.75444444444</v>
      </c>
      <c r="K54" s="12">
        <f t="shared" si="4"/>
        <v>582686.33977272722</v>
      </c>
      <c r="L54" s="12">
        <f t="shared" si="5"/>
        <v>603251.74</v>
      </c>
      <c r="M54" s="12">
        <f t="shared" si="6"/>
        <v>640954.97375</v>
      </c>
      <c r="N54" s="12">
        <f t="shared" si="7"/>
        <v>683685.30533333332</v>
      </c>
    </row>
    <row r="55" spans="1:14" ht="22.5" hidden="1" customHeight="1">
      <c r="A55" s="1">
        <v>151250</v>
      </c>
      <c r="B55" s="3" t="s">
        <v>91</v>
      </c>
      <c r="C55" s="1" t="s">
        <v>18</v>
      </c>
      <c r="D55" s="1" t="s">
        <v>92</v>
      </c>
      <c r="E55" s="2">
        <v>180377</v>
      </c>
      <c r="F55" s="1">
        <v>80</v>
      </c>
      <c r="G55" s="11">
        <f t="shared" si="1"/>
        <v>117245.05</v>
      </c>
      <c r="H55" s="11">
        <f t="shared" si="2"/>
        <v>22276.559499999999</v>
      </c>
      <c r="I55" s="13">
        <f t="shared" si="3"/>
        <v>139521.60949999999</v>
      </c>
      <c r="J55" s="11">
        <f t="shared" si="8"/>
        <v>155024.01055555555</v>
      </c>
      <c r="K55" s="12">
        <f t="shared" si="4"/>
        <v>158547.28352272726</v>
      </c>
      <c r="L55" s="12">
        <f t="shared" si="5"/>
        <v>164143.07</v>
      </c>
      <c r="M55" s="12">
        <f t="shared" si="6"/>
        <v>174402.01187499997</v>
      </c>
      <c r="N55" s="12">
        <f t="shared" si="7"/>
        <v>186028.81266666666</v>
      </c>
    </row>
    <row r="56" spans="1:14" ht="22.5" hidden="1" customHeight="1">
      <c r="A56" s="1">
        <v>109842</v>
      </c>
      <c r="B56" s="3" t="s">
        <v>93</v>
      </c>
      <c r="C56" s="1" t="s">
        <v>18</v>
      </c>
      <c r="D56" s="1" t="s">
        <v>23</v>
      </c>
      <c r="E56" s="2">
        <v>349493</v>
      </c>
      <c r="F56" s="1">
        <v>84</v>
      </c>
      <c r="G56" s="11">
        <f t="shared" si="1"/>
        <v>227170.45</v>
      </c>
      <c r="H56" s="11">
        <f t="shared" si="2"/>
        <v>43162.385500000004</v>
      </c>
      <c r="I56" s="13">
        <f t="shared" si="3"/>
        <v>270332.83550000004</v>
      </c>
      <c r="J56" s="11">
        <f t="shared" si="8"/>
        <v>300369.81722222228</v>
      </c>
      <c r="K56" s="12">
        <f t="shared" si="4"/>
        <v>307196.4039772728</v>
      </c>
      <c r="L56" s="12">
        <f t="shared" si="5"/>
        <v>318038.63000000006</v>
      </c>
      <c r="M56" s="12">
        <f t="shared" si="6"/>
        <v>337916.04437500006</v>
      </c>
      <c r="N56" s="12">
        <f t="shared" si="7"/>
        <v>360443.78066666675</v>
      </c>
    </row>
    <row r="57" spans="1:14" ht="22.5" hidden="1" customHeight="1">
      <c r="A57" s="1">
        <v>109411</v>
      </c>
      <c r="B57" s="3" t="s">
        <v>94</v>
      </c>
      <c r="C57" s="1" t="s">
        <v>22</v>
      </c>
      <c r="D57" s="1" t="s">
        <v>23</v>
      </c>
      <c r="E57" s="2">
        <v>277200</v>
      </c>
      <c r="F57" s="1">
        <v>5</v>
      </c>
      <c r="G57" s="11">
        <f t="shared" si="1"/>
        <v>180180</v>
      </c>
      <c r="H57" s="11">
        <f t="shared" si="2"/>
        <v>34234.199999999997</v>
      </c>
      <c r="I57" s="13">
        <f t="shared" si="3"/>
        <v>214414.2</v>
      </c>
      <c r="J57" s="11">
        <f t="shared" si="8"/>
        <v>238238</v>
      </c>
      <c r="K57" s="12">
        <f t="shared" si="4"/>
        <v>243652.5</v>
      </c>
      <c r="L57" s="12">
        <f t="shared" si="5"/>
        <v>252252.00000000003</v>
      </c>
      <c r="M57" s="12">
        <f t="shared" si="6"/>
        <v>268017.75</v>
      </c>
      <c r="N57" s="12">
        <f t="shared" si="7"/>
        <v>285885.60000000003</v>
      </c>
    </row>
    <row r="58" spans="1:14" ht="22.5" hidden="1" customHeight="1">
      <c r="A58" s="1">
        <v>150976</v>
      </c>
      <c r="B58" s="3" t="s">
        <v>95</v>
      </c>
      <c r="C58" s="1" t="s">
        <v>18</v>
      </c>
      <c r="D58" s="1" t="s">
        <v>46</v>
      </c>
      <c r="E58" s="2">
        <v>394096</v>
      </c>
      <c r="F58" s="1">
        <v>38</v>
      </c>
      <c r="G58" s="11">
        <f t="shared" si="1"/>
        <v>256162.40000000002</v>
      </c>
      <c r="H58" s="11">
        <f t="shared" si="2"/>
        <v>48670.856000000007</v>
      </c>
      <c r="I58" s="13">
        <f t="shared" si="3"/>
        <v>304833.25600000005</v>
      </c>
      <c r="J58" s="11">
        <f t="shared" si="8"/>
        <v>338703.61777777784</v>
      </c>
      <c r="K58" s="12">
        <f t="shared" si="4"/>
        <v>346401.42727272731</v>
      </c>
      <c r="L58" s="12">
        <f t="shared" si="5"/>
        <v>358627.36000000004</v>
      </c>
      <c r="M58" s="12">
        <f t="shared" si="6"/>
        <v>381041.57000000007</v>
      </c>
      <c r="N58" s="12">
        <f t="shared" si="7"/>
        <v>406444.3413333334</v>
      </c>
    </row>
    <row r="59" spans="1:14" ht="22.5" hidden="1" customHeight="1">
      <c r="A59" s="1">
        <v>150556</v>
      </c>
      <c r="B59" s="3" t="s">
        <v>96</v>
      </c>
      <c r="C59" s="1" t="s">
        <v>18</v>
      </c>
      <c r="D59" s="1" t="s">
        <v>29</v>
      </c>
      <c r="E59" s="2">
        <v>377967</v>
      </c>
      <c r="F59" s="1">
        <v>11</v>
      </c>
      <c r="G59" s="11">
        <f t="shared" si="1"/>
        <v>245678.55000000002</v>
      </c>
      <c r="H59" s="11">
        <f t="shared" si="2"/>
        <v>46678.924500000001</v>
      </c>
      <c r="I59" s="13">
        <f t="shared" si="3"/>
        <v>292357.47450000001</v>
      </c>
      <c r="J59" s="11">
        <f t="shared" si="8"/>
        <v>324841.63833333337</v>
      </c>
      <c r="K59" s="12">
        <f t="shared" si="4"/>
        <v>332224.40284090908</v>
      </c>
      <c r="L59" s="12">
        <f t="shared" si="5"/>
        <v>343949.97000000003</v>
      </c>
      <c r="M59" s="12">
        <f t="shared" si="6"/>
        <v>365446.84312500001</v>
      </c>
      <c r="N59" s="12">
        <f t="shared" si="7"/>
        <v>389809.96600000001</v>
      </c>
    </row>
    <row r="60" spans="1:14" ht="22.5" hidden="1" customHeight="1">
      <c r="A60" s="1">
        <v>108648</v>
      </c>
      <c r="B60" s="3" t="s">
        <v>97</v>
      </c>
      <c r="C60" s="1" t="s">
        <v>25</v>
      </c>
      <c r="D60" s="1" t="s">
        <v>16</v>
      </c>
      <c r="E60" s="2">
        <v>304822</v>
      </c>
      <c r="F60" s="1">
        <v>1</v>
      </c>
      <c r="G60" s="11">
        <f t="shared" si="1"/>
        <v>198134.3</v>
      </c>
      <c r="H60" s="11">
        <f t="shared" si="2"/>
        <v>37645.517</v>
      </c>
      <c r="I60" s="13">
        <f t="shared" si="3"/>
        <v>235779.81699999998</v>
      </c>
      <c r="J60" s="11">
        <f t="shared" si="8"/>
        <v>261977.57444444441</v>
      </c>
      <c r="K60" s="12">
        <f t="shared" si="4"/>
        <v>267931.61022727273</v>
      </c>
      <c r="L60" s="12">
        <f t="shared" si="5"/>
        <v>277388.01999999996</v>
      </c>
      <c r="M60" s="12">
        <f t="shared" si="6"/>
        <v>294724.77124999993</v>
      </c>
      <c r="N60" s="12">
        <f t="shared" si="7"/>
        <v>314373.08933333331</v>
      </c>
    </row>
    <row r="61" spans="1:14" ht="22.5" hidden="1" customHeight="1">
      <c r="A61" s="1">
        <v>150178</v>
      </c>
      <c r="B61" s="3" t="s">
        <v>98</v>
      </c>
      <c r="C61" s="1" t="s">
        <v>18</v>
      </c>
      <c r="D61" s="1" t="s">
        <v>23</v>
      </c>
      <c r="E61" s="2">
        <v>529329</v>
      </c>
      <c r="F61" s="1">
        <v>14</v>
      </c>
      <c r="G61" s="11">
        <f t="shared" si="1"/>
        <v>344063.85</v>
      </c>
      <c r="H61" s="11">
        <f t="shared" si="2"/>
        <v>65372.131499999996</v>
      </c>
      <c r="I61" s="13">
        <f t="shared" si="3"/>
        <v>409435.98149999999</v>
      </c>
      <c r="J61" s="11">
        <f t="shared" si="8"/>
        <v>454928.86833333329</v>
      </c>
      <c r="K61" s="12">
        <f t="shared" si="4"/>
        <v>465268.16079545452</v>
      </c>
      <c r="L61" s="12">
        <f t="shared" si="5"/>
        <v>481689.39</v>
      </c>
      <c r="M61" s="12">
        <f t="shared" si="6"/>
        <v>511794.97687499999</v>
      </c>
      <c r="N61" s="12">
        <f t="shared" si="7"/>
        <v>545914.64199999999</v>
      </c>
    </row>
    <row r="62" spans="1:14" ht="22.5" hidden="1" customHeight="1">
      <c r="A62" s="1">
        <v>109915</v>
      </c>
      <c r="B62" s="3" t="s">
        <v>99</v>
      </c>
      <c r="C62" s="1" t="s">
        <v>15</v>
      </c>
      <c r="D62" s="1" t="s">
        <v>23</v>
      </c>
      <c r="E62" s="2">
        <v>317772</v>
      </c>
      <c r="F62" s="1">
        <v>1</v>
      </c>
      <c r="G62" s="11">
        <f t="shared" si="1"/>
        <v>206551.8</v>
      </c>
      <c r="H62" s="11">
        <f t="shared" si="2"/>
        <v>39244.841999999997</v>
      </c>
      <c r="I62" s="13">
        <f t="shared" si="3"/>
        <v>245796.64199999999</v>
      </c>
      <c r="J62" s="11">
        <f t="shared" si="8"/>
        <v>273107.38</v>
      </c>
      <c r="K62" s="12">
        <f t="shared" si="4"/>
        <v>279314.36590909091</v>
      </c>
      <c r="L62" s="12">
        <f t="shared" si="5"/>
        <v>289172.52</v>
      </c>
      <c r="M62" s="12">
        <f t="shared" si="6"/>
        <v>307245.80249999999</v>
      </c>
      <c r="N62" s="12">
        <f t="shared" si="7"/>
        <v>327728.85599999997</v>
      </c>
    </row>
    <row r="63" spans="1:14" ht="22.5" hidden="1" customHeight="1">
      <c r="A63" s="1">
        <v>109608</v>
      </c>
      <c r="B63" s="3" t="s">
        <v>100</v>
      </c>
      <c r="C63" s="1" t="s">
        <v>15</v>
      </c>
      <c r="D63" s="1" t="s">
        <v>23</v>
      </c>
      <c r="E63" s="2">
        <v>252855</v>
      </c>
      <c r="F63" s="1">
        <v>1</v>
      </c>
      <c r="G63" s="11">
        <f t="shared" si="1"/>
        <v>164355.75</v>
      </c>
      <c r="H63" s="11">
        <f t="shared" si="2"/>
        <v>31227.592499999999</v>
      </c>
      <c r="I63" s="13">
        <f t="shared" si="3"/>
        <v>195583.3425</v>
      </c>
      <c r="J63" s="11">
        <f t="shared" si="8"/>
        <v>217314.82499999998</v>
      </c>
      <c r="K63" s="12">
        <f t="shared" si="4"/>
        <v>222253.79829545453</v>
      </c>
      <c r="L63" s="12">
        <f t="shared" si="5"/>
        <v>230098.05000000002</v>
      </c>
      <c r="M63" s="12">
        <f t="shared" si="6"/>
        <v>244479.17812499998</v>
      </c>
      <c r="N63" s="12">
        <f t="shared" si="7"/>
        <v>260777.79</v>
      </c>
    </row>
    <row r="64" spans="1:14" ht="22.5" hidden="1" customHeight="1">
      <c r="A64" s="1">
        <v>109613</v>
      </c>
      <c r="B64" s="3" t="s">
        <v>101</v>
      </c>
      <c r="C64" s="1" t="s">
        <v>25</v>
      </c>
      <c r="D64" s="1" t="s">
        <v>23</v>
      </c>
      <c r="E64" s="2">
        <v>298334</v>
      </c>
      <c r="F64" s="1">
        <v>41</v>
      </c>
      <c r="G64" s="11">
        <f t="shared" si="1"/>
        <v>193917.1</v>
      </c>
      <c r="H64" s="11">
        <f t="shared" si="2"/>
        <v>36844.249000000003</v>
      </c>
      <c r="I64" s="13">
        <f t="shared" si="3"/>
        <v>230761.34900000002</v>
      </c>
      <c r="J64" s="11">
        <f t="shared" si="8"/>
        <v>256401.49888888889</v>
      </c>
      <c r="K64" s="12">
        <f t="shared" si="4"/>
        <v>262228.80568181822</v>
      </c>
      <c r="L64" s="12">
        <f t="shared" si="5"/>
        <v>271483.94</v>
      </c>
      <c r="M64" s="12">
        <f t="shared" si="6"/>
        <v>288451.68625000003</v>
      </c>
      <c r="N64" s="12">
        <f t="shared" si="7"/>
        <v>307681.79866666667</v>
      </c>
    </row>
    <row r="65" spans="1:14" ht="22.5" hidden="1" customHeight="1">
      <c r="A65" s="1">
        <v>109618</v>
      </c>
      <c r="B65" s="3" t="s">
        <v>102</v>
      </c>
      <c r="C65" s="1" t="s">
        <v>25</v>
      </c>
      <c r="D65" s="1" t="s">
        <v>23</v>
      </c>
      <c r="E65" s="2">
        <v>251415</v>
      </c>
      <c r="F65" s="1">
        <v>1</v>
      </c>
      <c r="G65" s="11">
        <f t="shared" si="1"/>
        <v>163419.75</v>
      </c>
      <c r="H65" s="11">
        <f t="shared" si="2"/>
        <v>31049.752499999999</v>
      </c>
      <c r="I65" s="13">
        <f t="shared" si="3"/>
        <v>194469.5025</v>
      </c>
      <c r="J65" s="11">
        <f t="shared" si="8"/>
        <v>216077.22500000001</v>
      </c>
      <c r="K65" s="12">
        <f t="shared" si="4"/>
        <v>220988.07102272726</v>
      </c>
      <c r="L65" s="12">
        <f t="shared" si="5"/>
        <v>228787.65</v>
      </c>
      <c r="M65" s="12">
        <f t="shared" si="6"/>
        <v>243086.87812499999</v>
      </c>
      <c r="N65" s="12">
        <f t="shared" si="7"/>
        <v>259292.67</v>
      </c>
    </row>
    <row r="66" spans="1:14" ht="22.5" hidden="1" customHeight="1">
      <c r="A66" s="1">
        <v>150977</v>
      </c>
      <c r="B66" s="3" t="s">
        <v>103</v>
      </c>
      <c r="C66" s="1" t="s">
        <v>18</v>
      </c>
      <c r="D66" s="1" t="s">
        <v>46</v>
      </c>
      <c r="E66" s="2">
        <v>262753</v>
      </c>
      <c r="F66" s="1" t="s">
        <v>5</v>
      </c>
      <c r="G66" s="11">
        <f t="shared" si="1"/>
        <v>170789.45</v>
      </c>
      <c r="H66" s="11">
        <f t="shared" si="2"/>
        <v>32449.995500000001</v>
      </c>
      <c r="I66" s="13">
        <f t="shared" si="3"/>
        <v>203239.4455</v>
      </c>
      <c r="J66" s="11">
        <f t="shared" si="8"/>
        <v>225821.60611111112</v>
      </c>
      <c r="K66" s="12">
        <f t="shared" si="4"/>
        <v>230953.91534090909</v>
      </c>
      <c r="L66" s="12">
        <f t="shared" si="5"/>
        <v>239105.23</v>
      </c>
      <c r="M66" s="12">
        <f t="shared" si="6"/>
        <v>254049.30687499998</v>
      </c>
      <c r="N66" s="12">
        <f t="shared" si="7"/>
        <v>270985.92733333335</v>
      </c>
    </row>
    <row r="67" spans="1:14" ht="22.5" hidden="1" customHeight="1">
      <c r="A67" s="1">
        <v>151047</v>
      </c>
      <c r="B67" s="3" t="s">
        <v>104</v>
      </c>
      <c r="C67" s="1" t="s">
        <v>18</v>
      </c>
      <c r="D67" s="1" t="s">
        <v>19</v>
      </c>
      <c r="E67" s="2">
        <v>280373</v>
      </c>
      <c r="F67" s="1">
        <v>8</v>
      </c>
      <c r="G67" s="11">
        <f t="shared" ref="G67:G130" si="9">E67-(E67*35%)</f>
        <v>182242.45</v>
      </c>
      <c r="H67" s="11">
        <f t="shared" ref="H67:H130" si="10">G67*19%</f>
        <v>34626.065500000004</v>
      </c>
      <c r="I67" s="13">
        <f t="shared" ref="I67:I130" si="11">G67+H67</f>
        <v>216868.51550000001</v>
      </c>
      <c r="J67" s="11">
        <f t="shared" si="8"/>
        <v>240965.01722222223</v>
      </c>
      <c r="K67" s="12">
        <f t="shared" ref="K67:K130" si="12">I67/(1-12%)</f>
        <v>246441.49488636365</v>
      </c>
      <c r="L67" s="12">
        <f t="shared" ref="L67:L130" si="13">I67/(1-15%)</f>
        <v>255139.43000000002</v>
      </c>
      <c r="M67" s="12">
        <f t="shared" ref="M67:M130" si="14">I67/(1-20%)</f>
        <v>271085.64437499997</v>
      </c>
      <c r="N67" s="12">
        <f t="shared" ref="N67:N130" si="15">I67/(1-25%)</f>
        <v>289158.02066666668</v>
      </c>
    </row>
    <row r="68" spans="1:14" ht="22.5" hidden="1" customHeight="1">
      <c r="A68" s="1">
        <v>108038</v>
      </c>
      <c r="B68" s="3" t="s">
        <v>105</v>
      </c>
      <c r="C68" s="1" t="s">
        <v>25</v>
      </c>
      <c r="D68" s="1" t="s">
        <v>16</v>
      </c>
      <c r="E68" s="2">
        <v>361611</v>
      </c>
      <c r="F68" s="1">
        <v>75</v>
      </c>
      <c r="G68" s="11">
        <f t="shared" si="9"/>
        <v>235047.15000000002</v>
      </c>
      <c r="H68" s="11">
        <f t="shared" si="10"/>
        <v>44658.958500000008</v>
      </c>
      <c r="I68" s="13">
        <f t="shared" si="11"/>
        <v>279706.10850000003</v>
      </c>
      <c r="J68" s="11">
        <f t="shared" si="8"/>
        <v>310784.565</v>
      </c>
      <c r="K68" s="12">
        <f t="shared" si="12"/>
        <v>317847.85056818184</v>
      </c>
      <c r="L68" s="12">
        <f t="shared" si="13"/>
        <v>329066.01000000007</v>
      </c>
      <c r="M68" s="12">
        <f t="shared" si="14"/>
        <v>349632.635625</v>
      </c>
      <c r="N68" s="12">
        <f t="shared" si="15"/>
        <v>372941.47800000006</v>
      </c>
    </row>
    <row r="69" spans="1:14" ht="22.5" hidden="1" customHeight="1">
      <c r="A69" s="1">
        <v>108807</v>
      </c>
      <c r="B69" s="3" t="s">
        <v>106</v>
      </c>
      <c r="C69" s="1" t="s">
        <v>22</v>
      </c>
      <c r="D69" s="1" t="s">
        <v>23</v>
      </c>
      <c r="E69" s="2">
        <v>380113</v>
      </c>
      <c r="F69" s="1">
        <v>4</v>
      </c>
      <c r="G69" s="11">
        <f t="shared" si="9"/>
        <v>247073.45</v>
      </c>
      <c r="H69" s="11">
        <f t="shared" si="10"/>
        <v>46943.955500000004</v>
      </c>
      <c r="I69" s="13">
        <f t="shared" si="11"/>
        <v>294017.40549999999</v>
      </c>
      <c r="J69" s="11">
        <f t="shared" si="8"/>
        <v>326686.00611111108</v>
      </c>
      <c r="K69" s="12">
        <f t="shared" si="12"/>
        <v>334110.6880681818</v>
      </c>
      <c r="L69" s="12">
        <f t="shared" si="13"/>
        <v>345902.83</v>
      </c>
      <c r="M69" s="12">
        <f t="shared" si="14"/>
        <v>367521.75687499996</v>
      </c>
      <c r="N69" s="12">
        <f t="shared" si="15"/>
        <v>392023.20733333332</v>
      </c>
    </row>
    <row r="70" spans="1:14" ht="22.5" hidden="1" customHeight="1">
      <c r="A70" s="1">
        <v>109730</v>
      </c>
      <c r="B70" s="3" t="s">
        <v>107</v>
      </c>
      <c r="C70" s="1" t="s">
        <v>15</v>
      </c>
      <c r="D70" s="1" t="s">
        <v>23</v>
      </c>
      <c r="E70" s="2">
        <v>315850</v>
      </c>
      <c r="F70" s="1">
        <v>1</v>
      </c>
      <c r="G70" s="11">
        <f t="shared" si="9"/>
        <v>205302.5</v>
      </c>
      <c r="H70" s="11">
        <f t="shared" si="10"/>
        <v>39007.474999999999</v>
      </c>
      <c r="I70" s="13">
        <f t="shared" si="11"/>
        <v>244309.97500000001</v>
      </c>
      <c r="J70" s="11">
        <f t="shared" si="8"/>
        <v>271455.52777777775</v>
      </c>
      <c r="K70" s="12">
        <f t="shared" si="12"/>
        <v>277624.97159090912</v>
      </c>
      <c r="L70" s="12">
        <f t="shared" si="13"/>
        <v>287423.5</v>
      </c>
      <c r="M70" s="12">
        <f t="shared" si="14"/>
        <v>305387.46875</v>
      </c>
      <c r="N70" s="12">
        <f t="shared" si="15"/>
        <v>325746.63333333336</v>
      </c>
    </row>
    <row r="71" spans="1:14" ht="22.5" hidden="1" customHeight="1">
      <c r="A71" s="1" t="s">
        <v>108</v>
      </c>
      <c r="B71" s="3" t="s">
        <v>109</v>
      </c>
      <c r="C71" s="1" t="s">
        <v>25</v>
      </c>
      <c r="D71" s="1" t="s">
        <v>42</v>
      </c>
      <c r="E71" s="2">
        <v>328005</v>
      </c>
      <c r="F71" s="1">
        <v>3</v>
      </c>
      <c r="G71" s="11">
        <f t="shared" si="9"/>
        <v>213203.25</v>
      </c>
      <c r="H71" s="11">
        <f t="shared" si="10"/>
        <v>40508.6175</v>
      </c>
      <c r="I71" s="13">
        <f t="shared" si="11"/>
        <v>253711.86749999999</v>
      </c>
      <c r="J71" s="11">
        <f t="shared" si="8"/>
        <v>281902.07500000001</v>
      </c>
      <c r="K71" s="12">
        <f t="shared" si="12"/>
        <v>288308.94034090906</v>
      </c>
      <c r="L71" s="12">
        <f t="shared" si="13"/>
        <v>298484.55</v>
      </c>
      <c r="M71" s="12">
        <f t="shared" si="14"/>
        <v>317139.83437499998</v>
      </c>
      <c r="N71" s="12">
        <f t="shared" si="15"/>
        <v>338282.49</v>
      </c>
    </row>
    <row r="72" spans="1:14" ht="22.5" hidden="1" customHeight="1">
      <c r="A72" s="1">
        <v>109656</v>
      </c>
      <c r="B72" s="3" t="s">
        <v>110</v>
      </c>
      <c r="C72" s="1" t="s">
        <v>22</v>
      </c>
      <c r="D72" s="1" t="s">
        <v>29</v>
      </c>
      <c r="E72" s="2">
        <v>353411</v>
      </c>
      <c r="F72" s="1">
        <v>86</v>
      </c>
      <c r="G72" s="11">
        <f t="shared" si="9"/>
        <v>229717.15000000002</v>
      </c>
      <c r="H72" s="11">
        <f t="shared" si="10"/>
        <v>43646.258500000004</v>
      </c>
      <c r="I72" s="13">
        <f t="shared" si="11"/>
        <v>273363.40850000002</v>
      </c>
      <c r="J72" s="11">
        <f t="shared" si="8"/>
        <v>303737.12055555556</v>
      </c>
      <c r="K72" s="12">
        <f t="shared" si="12"/>
        <v>310640.23693181819</v>
      </c>
      <c r="L72" s="12">
        <f t="shared" si="13"/>
        <v>321604.01</v>
      </c>
      <c r="M72" s="12">
        <f t="shared" si="14"/>
        <v>341704.260625</v>
      </c>
      <c r="N72" s="12">
        <f t="shared" si="15"/>
        <v>364484.54466666671</v>
      </c>
    </row>
    <row r="73" spans="1:14" ht="22.5" hidden="1" customHeight="1">
      <c r="A73" s="7">
        <v>151251</v>
      </c>
      <c r="B73" s="8" t="s">
        <v>111</v>
      </c>
      <c r="C73" s="1" t="s">
        <v>18</v>
      </c>
      <c r="D73" s="1" t="s">
        <v>29</v>
      </c>
      <c r="E73" s="2">
        <v>292064</v>
      </c>
      <c r="F73" s="1">
        <v>96</v>
      </c>
      <c r="G73" s="11">
        <f t="shared" si="9"/>
        <v>189841.6</v>
      </c>
      <c r="H73" s="11">
        <f t="shared" si="10"/>
        <v>36069.904000000002</v>
      </c>
      <c r="I73" s="13">
        <f t="shared" si="11"/>
        <v>225911.50400000002</v>
      </c>
      <c r="J73" s="11">
        <f t="shared" si="8"/>
        <v>251012.78222222225</v>
      </c>
      <c r="K73" s="12">
        <f t="shared" si="12"/>
        <v>256717.61818181819</v>
      </c>
      <c r="L73" s="12">
        <f t="shared" si="13"/>
        <v>265778.24000000005</v>
      </c>
      <c r="M73" s="12">
        <f t="shared" si="14"/>
        <v>282389.38</v>
      </c>
      <c r="N73" s="12">
        <f t="shared" si="15"/>
        <v>301215.33866666671</v>
      </c>
    </row>
    <row r="74" spans="1:14" ht="22.5" hidden="1" customHeight="1">
      <c r="A74" s="1">
        <v>150299</v>
      </c>
      <c r="B74" s="3" t="s">
        <v>112</v>
      </c>
      <c r="C74" s="1" t="s">
        <v>22</v>
      </c>
      <c r="D74" s="1" t="s">
        <v>23</v>
      </c>
      <c r="E74" s="2">
        <v>348254</v>
      </c>
      <c r="F74" s="1">
        <v>4</v>
      </c>
      <c r="G74" s="11">
        <f t="shared" si="9"/>
        <v>226365.1</v>
      </c>
      <c r="H74" s="11">
        <f t="shared" si="10"/>
        <v>43009.368999999999</v>
      </c>
      <c r="I74" s="13">
        <f t="shared" si="11"/>
        <v>269374.46899999998</v>
      </c>
      <c r="J74" s="11">
        <f t="shared" si="8"/>
        <v>299304.96555555554</v>
      </c>
      <c r="K74" s="12">
        <f t="shared" si="12"/>
        <v>306107.35113636364</v>
      </c>
      <c r="L74" s="12">
        <f t="shared" si="13"/>
        <v>316911.14</v>
      </c>
      <c r="M74" s="12">
        <f t="shared" si="14"/>
        <v>336718.08624999993</v>
      </c>
      <c r="N74" s="12">
        <f t="shared" si="15"/>
        <v>359165.95866666664</v>
      </c>
    </row>
    <row r="75" spans="1:14" ht="22.5" hidden="1" customHeight="1">
      <c r="A75" s="1">
        <v>150298</v>
      </c>
      <c r="B75" s="3" t="s">
        <v>113</v>
      </c>
      <c r="C75" s="1" t="s">
        <v>15</v>
      </c>
      <c r="D75" s="1" t="s">
        <v>23</v>
      </c>
      <c r="E75" s="2">
        <v>355799</v>
      </c>
      <c r="F75" s="1">
        <v>16</v>
      </c>
      <c r="G75" s="11">
        <f t="shared" si="9"/>
        <v>231269.35</v>
      </c>
      <c r="H75" s="11">
        <f t="shared" si="10"/>
        <v>43941.176500000001</v>
      </c>
      <c r="I75" s="13">
        <f t="shared" si="11"/>
        <v>275210.52650000004</v>
      </c>
      <c r="J75" s="11">
        <f t="shared" si="8"/>
        <v>305789.4738888889</v>
      </c>
      <c r="K75" s="12">
        <f t="shared" si="12"/>
        <v>312739.23465909093</v>
      </c>
      <c r="L75" s="12">
        <f t="shared" si="13"/>
        <v>323777.09000000003</v>
      </c>
      <c r="M75" s="12">
        <f t="shared" si="14"/>
        <v>344013.15812500002</v>
      </c>
      <c r="N75" s="12">
        <f t="shared" si="15"/>
        <v>366947.36866666673</v>
      </c>
    </row>
    <row r="76" spans="1:14" ht="22.5" hidden="1" customHeight="1">
      <c r="A76" s="1">
        <v>108963</v>
      </c>
      <c r="B76" s="3" t="s">
        <v>114</v>
      </c>
      <c r="C76" s="1" t="s">
        <v>39</v>
      </c>
      <c r="D76" s="1" t="s">
        <v>16</v>
      </c>
      <c r="E76" s="2">
        <v>341423</v>
      </c>
      <c r="F76" s="1">
        <v>22</v>
      </c>
      <c r="G76" s="11">
        <f t="shared" si="9"/>
        <v>221924.95</v>
      </c>
      <c r="H76" s="11">
        <f t="shared" si="10"/>
        <v>42165.7405</v>
      </c>
      <c r="I76" s="13">
        <f t="shared" si="11"/>
        <v>264090.69050000003</v>
      </c>
      <c r="J76" s="11">
        <f t="shared" si="8"/>
        <v>293434.1005555556</v>
      </c>
      <c r="K76" s="12">
        <f t="shared" si="12"/>
        <v>300103.05738636368</v>
      </c>
      <c r="L76" s="12">
        <f t="shared" si="13"/>
        <v>310694.93000000005</v>
      </c>
      <c r="M76" s="12">
        <f t="shared" si="14"/>
        <v>330113.36312500003</v>
      </c>
      <c r="N76" s="12">
        <f t="shared" si="15"/>
        <v>352120.9206666667</v>
      </c>
    </row>
    <row r="77" spans="1:14" ht="22.5" hidden="1" customHeight="1">
      <c r="A77" s="1">
        <v>110011</v>
      </c>
      <c r="B77" s="3" t="s">
        <v>115</v>
      </c>
      <c r="C77" s="1" t="s">
        <v>18</v>
      </c>
      <c r="D77" s="1" t="s">
        <v>29</v>
      </c>
      <c r="E77" s="2">
        <v>364697</v>
      </c>
      <c r="F77" s="1">
        <v>97</v>
      </c>
      <c r="G77" s="11">
        <f t="shared" si="9"/>
        <v>237053.05</v>
      </c>
      <c r="H77" s="11">
        <f t="shared" si="10"/>
        <v>45040.0795</v>
      </c>
      <c r="I77" s="13">
        <f t="shared" si="11"/>
        <v>282093.12949999998</v>
      </c>
      <c r="J77" s="11">
        <f t="shared" si="8"/>
        <v>313436.81055555551</v>
      </c>
      <c r="K77" s="12">
        <f t="shared" si="12"/>
        <v>320560.37443181814</v>
      </c>
      <c r="L77" s="12">
        <f t="shared" si="13"/>
        <v>331874.26999999996</v>
      </c>
      <c r="M77" s="12">
        <f t="shared" si="14"/>
        <v>352616.41187499993</v>
      </c>
      <c r="N77" s="12">
        <f t="shared" si="15"/>
        <v>376124.17266666662</v>
      </c>
    </row>
    <row r="78" spans="1:14" ht="22.5" hidden="1" customHeight="1">
      <c r="A78" s="1">
        <v>112853</v>
      </c>
      <c r="B78" s="3" t="s">
        <v>116</v>
      </c>
      <c r="C78" s="1" t="s">
        <v>39</v>
      </c>
      <c r="D78" s="1" t="s">
        <v>29</v>
      </c>
      <c r="E78" s="2">
        <v>315333</v>
      </c>
      <c r="F78" s="1" t="s">
        <v>5</v>
      </c>
      <c r="G78" s="11">
        <f t="shared" si="9"/>
        <v>204966.45</v>
      </c>
      <c r="H78" s="11">
        <f t="shared" si="10"/>
        <v>38943.625500000002</v>
      </c>
      <c r="I78" s="13">
        <f t="shared" si="11"/>
        <v>243910.07550000001</v>
      </c>
      <c r="J78" s="11">
        <f t="shared" ref="J78:J141" si="16">I78/(1-10%)</f>
        <v>271011.19500000001</v>
      </c>
      <c r="K78" s="12">
        <f t="shared" si="12"/>
        <v>277170.54034090909</v>
      </c>
      <c r="L78" s="12">
        <f t="shared" si="13"/>
        <v>286953.03000000003</v>
      </c>
      <c r="M78" s="12">
        <f t="shared" si="14"/>
        <v>304887.59437499999</v>
      </c>
      <c r="N78" s="12">
        <f t="shared" si="15"/>
        <v>325213.43400000001</v>
      </c>
    </row>
    <row r="79" spans="1:14" ht="22.5" hidden="1" customHeight="1">
      <c r="A79" s="1">
        <v>111269</v>
      </c>
      <c r="B79" s="3" t="s">
        <v>117</v>
      </c>
      <c r="C79" s="1" t="s">
        <v>18</v>
      </c>
      <c r="D79" s="1" t="s">
        <v>19</v>
      </c>
      <c r="E79" s="2">
        <v>268624</v>
      </c>
      <c r="F79" s="1">
        <v>3</v>
      </c>
      <c r="G79" s="11">
        <f t="shared" si="9"/>
        <v>174605.6</v>
      </c>
      <c r="H79" s="11">
        <f t="shared" si="10"/>
        <v>33175.063999999998</v>
      </c>
      <c r="I79" s="13">
        <f t="shared" si="11"/>
        <v>207780.66399999999</v>
      </c>
      <c r="J79" s="11">
        <f t="shared" si="16"/>
        <v>230867.40444444443</v>
      </c>
      <c r="K79" s="12">
        <f t="shared" si="12"/>
        <v>236114.3909090909</v>
      </c>
      <c r="L79" s="12">
        <f t="shared" si="13"/>
        <v>244447.84</v>
      </c>
      <c r="M79" s="12">
        <f t="shared" si="14"/>
        <v>259725.83</v>
      </c>
      <c r="N79" s="12">
        <f t="shared" si="15"/>
        <v>277040.88533333334</v>
      </c>
    </row>
    <row r="80" spans="1:14" ht="22.5" hidden="1" customHeight="1">
      <c r="A80" s="1" t="s">
        <v>118</v>
      </c>
      <c r="B80" s="3" t="s">
        <v>119</v>
      </c>
      <c r="C80" s="1" t="s">
        <v>25</v>
      </c>
      <c r="D80" s="1" t="s">
        <v>84</v>
      </c>
      <c r="E80" s="2">
        <v>449082</v>
      </c>
      <c r="F80" s="1">
        <v>8</v>
      </c>
      <c r="G80" s="11">
        <f t="shared" si="9"/>
        <v>291903.30000000005</v>
      </c>
      <c r="H80" s="11">
        <f t="shared" si="10"/>
        <v>55461.627000000008</v>
      </c>
      <c r="I80" s="13">
        <f t="shared" si="11"/>
        <v>347364.92700000003</v>
      </c>
      <c r="J80" s="11">
        <f t="shared" si="16"/>
        <v>385961.03</v>
      </c>
      <c r="K80" s="12">
        <f t="shared" si="12"/>
        <v>394732.87159090914</v>
      </c>
      <c r="L80" s="12">
        <f t="shared" si="13"/>
        <v>408664.62000000005</v>
      </c>
      <c r="M80" s="12">
        <f t="shared" si="14"/>
        <v>434206.15875</v>
      </c>
      <c r="N80" s="12">
        <f t="shared" si="15"/>
        <v>463153.23600000003</v>
      </c>
    </row>
    <row r="81" spans="1:14" ht="22.5" hidden="1" customHeight="1">
      <c r="A81" s="1">
        <v>150487</v>
      </c>
      <c r="B81" s="3" t="s">
        <v>120</v>
      </c>
      <c r="C81" s="1" t="s">
        <v>15</v>
      </c>
      <c r="D81" s="1" t="s">
        <v>42</v>
      </c>
      <c r="E81" s="2">
        <v>407875</v>
      </c>
      <c r="F81" s="1">
        <v>6</v>
      </c>
      <c r="G81" s="11">
        <f t="shared" si="9"/>
        <v>265118.75</v>
      </c>
      <c r="H81" s="11">
        <f t="shared" si="10"/>
        <v>50372.5625</v>
      </c>
      <c r="I81" s="13">
        <f t="shared" si="11"/>
        <v>315491.3125</v>
      </c>
      <c r="J81" s="11">
        <f t="shared" si="16"/>
        <v>350545.90277777775</v>
      </c>
      <c r="K81" s="12">
        <f t="shared" si="12"/>
        <v>358512.85511363635</v>
      </c>
      <c r="L81" s="12">
        <f t="shared" si="13"/>
        <v>371166.25</v>
      </c>
      <c r="M81" s="12">
        <f t="shared" si="14"/>
        <v>394364.140625</v>
      </c>
      <c r="N81" s="12">
        <f t="shared" si="15"/>
        <v>420655.08333333331</v>
      </c>
    </row>
    <row r="82" spans="1:14" ht="22.5" hidden="1" customHeight="1">
      <c r="A82" s="1">
        <v>150485</v>
      </c>
      <c r="B82" s="3" t="s">
        <v>121</v>
      </c>
      <c r="C82" s="1" t="s">
        <v>18</v>
      </c>
      <c r="D82" s="1" t="s">
        <v>42</v>
      </c>
      <c r="E82" s="2">
        <v>423562</v>
      </c>
      <c r="F82" s="1">
        <v>1</v>
      </c>
      <c r="G82" s="11">
        <f t="shared" si="9"/>
        <v>275315.30000000005</v>
      </c>
      <c r="H82" s="11">
        <f t="shared" si="10"/>
        <v>52309.907000000007</v>
      </c>
      <c r="I82" s="13">
        <f t="shared" si="11"/>
        <v>327625.20700000005</v>
      </c>
      <c r="J82" s="11">
        <f t="shared" si="16"/>
        <v>364028.00777777785</v>
      </c>
      <c r="K82" s="12">
        <f t="shared" si="12"/>
        <v>372301.37159090914</v>
      </c>
      <c r="L82" s="12">
        <f t="shared" si="13"/>
        <v>385441.4200000001</v>
      </c>
      <c r="M82" s="12">
        <f t="shared" si="14"/>
        <v>409531.50875000004</v>
      </c>
      <c r="N82" s="12">
        <f t="shared" si="15"/>
        <v>436833.60933333338</v>
      </c>
    </row>
    <row r="83" spans="1:14" ht="22.5" hidden="1" customHeight="1">
      <c r="A83" s="1">
        <v>150481</v>
      </c>
      <c r="B83" s="3" t="s">
        <v>122</v>
      </c>
      <c r="C83" s="1" t="s">
        <v>22</v>
      </c>
      <c r="D83" s="1" t="s">
        <v>42</v>
      </c>
      <c r="E83" s="2">
        <v>431407</v>
      </c>
      <c r="F83" s="1">
        <v>24</v>
      </c>
      <c r="G83" s="11">
        <f t="shared" si="9"/>
        <v>280414.55000000005</v>
      </c>
      <c r="H83" s="11">
        <f t="shared" si="10"/>
        <v>53278.764500000012</v>
      </c>
      <c r="I83" s="13">
        <f t="shared" si="11"/>
        <v>333693.31450000004</v>
      </c>
      <c r="J83" s="11">
        <f t="shared" si="16"/>
        <v>370770.34944444447</v>
      </c>
      <c r="K83" s="12">
        <f t="shared" si="12"/>
        <v>379196.94829545461</v>
      </c>
      <c r="L83" s="12">
        <f t="shared" si="13"/>
        <v>392580.37000000005</v>
      </c>
      <c r="M83" s="12">
        <f t="shared" si="14"/>
        <v>417116.643125</v>
      </c>
      <c r="N83" s="12">
        <f t="shared" si="15"/>
        <v>444924.41933333338</v>
      </c>
    </row>
    <row r="84" spans="1:14" ht="22.5" hidden="1" customHeight="1">
      <c r="A84" s="1" t="s">
        <v>123</v>
      </c>
      <c r="B84" s="3" t="s">
        <v>124</v>
      </c>
      <c r="C84" s="1" t="s">
        <v>25</v>
      </c>
      <c r="D84" s="1" t="s">
        <v>69</v>
      </c>
      <c r="E84" s="2">
        <v>694476</v>
      </c>
      <c r="F84" s="1">
        <v>3</v>
      </c>
      <c r="G84" s="11">
        <f t="shared" si="9"/>
        <v>451409.4</v>
      </c>
      <c r="H84" s="11">
        <f t="shared" si="10"/>
        <v>85767.786000000007</v>
      </c>
      <c r="I84" s="13">
        <f t="shared" si="11"/>
        <v>537177.18599999999</v>
      </c>
      <c r="J84" s="11">
        <f t="shared" si="16"/>
        <v>596863.53999999992</v>
      </c>
      <c r="K84" s="12">
        <f t="shared" si="12"/>
        <v>610428.62045454548</v>
      </c>
      <c r="L84" s="12">
        <f t="shared" si="13"/>
        <v>631973.16</v>
      </c>
      <c r="M84" s="12">
        <f t="shared" si="14"/>
        <v>671471.48249999993</v>
      </c>
      <c r="N84" s="12">
        <f t="shared" si="15"/>
        <v>716236.24800000002</v>
      </c>
    </row>
    <row r="85" spans="1:14" ht="22.5" hidden="1" customHeight="1">
      <c r="A85" s="1">
        <v>108039</v>
      </c>
      <c r="B85" s="3" t="s">
        <v>125</v>
      </c>
      <c r="C85" s="1" t="s">
        <v>25</v>
      </c>
      <c r="D85" s="1" t="s">
        <v>16</v>
      </c>
      <c r="E85" s="2">
        <v>423409</v>
      </c>
      <c r="F85" s="1">
        <v>57</v>
      </c>
      <c r="G85" s="11">
        <f t="shared" si="9"/>
        <v>275215.84999999998</v>
      </c>
      <c r="H85" s="11">
        <f t="shared" si="10"/>
        <v>52291.011499999993</v>
      </c>
      <c r="I85" s="13">
        <f t="shared" si="11"/>
        <v>327506.8615</v>
      </c>
      <c r="J85" s="11">
        <f t="shared" si="16"/>
        <v>363896.5127777778</v>
      </c>
      <c r="K85" s="12">
        <f t="shared" si="12"/>
        <v>372166.88806818181</v>
      </c>
      <c r="L85" s="12">
        <f t="shared" si="13"/>
        <v>385302.19</v>
      </c>
      <c r="M85" s="12">
        <f t="shared" si="14"/>
        <v>409383.57687499997</v>
      </c>
      <c r="N85" s="12">
        <f t="shared" si="15"/>
        <v>436675.81533333333</v>
      </c>
    </row>
    <row r="86" spans="1:14" ht="22.5" hidden="1" customHeight="1">
      <c r="A86" s="1">
        <v>108649</v>
      </c>
      <c r="B86" s="3" t="s">
        <v>126</v>
      </c>
      <c r="C86" s="1" t="s">
        <v>18</v>
      </c>
      <c r="D86" s="1" t="s">
        <v>16</v>
      </c>
      <c r="E86" s="2">
        <v>319253</v>
      </c>
      <c r="F86" s="1">
        <v>1</v>
      </c>
      <c r="G86" s="11">
        <f t="shared" si="9"/>
        <v>207514.45</v>
      </c>
      <c r="H86" s="11">
        <f t="shared" si="10"/>
        <v>39427.745500000005</v>
      </c>
      <c r="I86" s="13">
        <f t="shared" si="11"/>
        <v>246942.19550000003</v>
      </c>
      <c r="J86" s="11">
        <f t="shared" si="16"/>
        <v>274380.21722222224</v>
      </c>
      <c r="K86" s="12">
        <f t="shared" si="12"/>
        <v>280616.13125000003</v>
      </c>
      <c r="L86" s="12">
        <f t="shared" si="13"/>
        <v>290520.23000000004</v>
      </c>
      <c r="M86" s="12">
        <f t="shared" si="14"/>
        <v>308677.74437500001</v>
      </c>
      <c r="N86" s="12">
        <f t="shared" si="15"/>
        <v>329256.26066666673</v>
      </c>
    </row>
    <row r="87" spans="1:14" ht="22.5" hidden="1" customHeight="1">
      <c r="A87" s="1">
        <v>112796</v>
      </c>
      <c r="B87" s="3" t="s">
        <v>127</v>
      </c>
      <c r="C87" s="1" t="s">
        <v>18</v>
      </c>
      <c r="D87" s="1" t="s">
        <v>79</v>
      </c>
      <c r="E87" s="2">
        <v>254781</v>
      </c>
      <c r="F87" s="1">
        <v>1</v>
      </c>
      <c r="G87" s="11">
        <f t="shared" si="9"/>
        <v>165607.65000000002</v>
      </c>
      <c r="H87" s="11">
        <f t="shared" si="10"/>
        <v>31465.453500000003</v>
      </c>
      <c r="I87" s="13">
        <f t="shared" si="11"/>
        <v>197073.10350000003</v>
      </c>
      <c r="J87" s="11">
        <f t="shared" si="16"/>
        <v>218970.11500000002</v>
      </c>
      <c r="K87" s="12">
        <f t="shared" si="12"/>
        <v>223946.70852272731</v>
      </c>
      <c r="L87" s="12">
        <f t="shared" si="13"/>
        <v>231850.71000000005</v>
      </c>
      <c r="M87" s="12">
        <f t="shared" si="14"/>
        <v>246341.37937500002</v>
      </c>
      <c r="N87" s="12">
        <f t="shared" si="15"/>
        <v>262764.13800000004</v>
      </c>
    </row>
    <row r="88" spans="1:14" ht="22.5" hidden="1" customHeight="1">
      <c r="A88" s="1">
        <v>110022</v>
      </c>
      <c r="B88" s="3" t="s">
        <v>128</v>
      </c>
      <c r="C88" s="1" t="s">
        <v>25</v>
      </c>
      <c r="D88" s="1" t="s">
        <v>29</v>
      </c>
      <c r="E88" s="2">
        <v>402355</v>
      </c>
      <c r="F88" s="1">
        <v>2</v>
      </c>
      <c r="G88" s="11">
        <f t="shared" si="9"/>
        <v>261530.75</v>
      </c>
      <c r="H88" s="11">
        <f t="shared" si="10"/>
        <v>49690.842499999999</v>
      </c>
      <c r="I88" s="13">
        <f t="shared" si="11"/>
        <v>311221.59250000003</v>
      </c>
      <c r="J88" s="11">
        <f t="shared" si="16"/>
        <v>345801.76944444445</v>
      </c>
      <c r="K88" s="12">
        <f t="shared" si="12"/>
        <v>353660.90056818182</v>
      </c>
      <c r="L88" s="12">
        <f t="shared" si="13"/>
        <v>366143.05000000005</v>
      </c>
      <c r="M88" s="12">
        <f t="shared" si="14"/>
        <v>389026.99062500003</v>
      </c>
      <c r="N88" s="12">
        <f t="shared" si="15"/>
        <v>414962.12333333335</v>
      </c>
    </row>
    <row r="89" spans="1:14" ht="22.5" hidden="1" customHeight="1">
      <c r="A89" s="1">
        <v>151147</v>
      </c>
      <c r="B89" s="3" t="s">
        <v>129</v>
      </c>
      <c r="C89" s="1" t="s">
        <v>18</v>
      </c>
      <c r="D89" s="1" t="s">
        <v>19</v>
      </c>
      <c r="E89" s="2">
        <v>311829</v>
      </c>
      <c r="F89" s="1">
        <v>38</v>
      </c>
      <c r="G89" s="11">
        <f t="shared" si="9"/>
        <v>202688.85</v>
      </c>
      <c r="H89" s="11">
        <f t="shared" si="10"/>
        <v>38510.881500000003</v>
      </c>
      <c r="I89" s="13">
        <f t="shared" si="11"/>
        <v>241199.73149999999</v>
      </c>
      <c r="J89" s="11">
        <f t="shared" si="16"/>
        <v>267999.70166666666</v>
      </c>
      <c r="K89" s="12">
        <f t="shared" si="12"/>
        <v>274090.60397727269</v>
      </c>
      <c r="L89" s="12">
        <f t="shared" si="13"/>
        <v>283764.39</v>
      </c>
      <c r="M89" s="12">
        <f t="shared" si="14"/>
        <v>301499.66437499999</v>
      </c>
      <c r="N89" s="12">
        <f t="shared" si="15"/>
        <v>321599.64199999999</v>
      </c>
    </row>
    <row r="90" spans="1:14" ht="22.5" hidden="1" customHeight="1">
      <c r="A90" s="1">
        <v>111478</v>
      </c>
      <c r="B90" s="3" t="s">
        <v>130</v>
      </c>
      <c r="C90" s="1" t="s">
        <v>25</v>
      </c>
      <c r="D90" s="1" t="s">
        <v>19</v>
      </c>
      <c r="E90" s="2">
        <v>389828</v>
      </c>
      <c r="F90" s="1" t="s">
        <v>5</v>
      </c>
      <c r="G90" s="11">
        <f t="shared" si="9"/>
        <v>253388.2</v>
      </c>
      <c r="H90" s="11">
        <f t="shared" si="10"/>
        <v>48143.758000000002</v>
      </c>
      <c r="I90" s="13">
        <f t="shared" si="11"/>
        <v>301531.95799999998</v>
      </c>
      <c r="J90" s="11">
        <f t="shared" si="16"/>
        <v>335035.50888888887</v>
      </c>
      <c r="K90" s="12">
        <f t="shared" si="12"/>
        <v>342649.95227272727</v>
      </c>
      <c r="L90" s="12">
        <f t="shared" si="13"/>
        <v>354743.48</v>
      </c>
      <c r="M90" s="12">
        <f t="shared" si="14"/>
        <v>376914.94749999995</v>
      </c>
      <c r="N90" s="12">
        <f t="shared" si="15"/>
        <v>402042.61066666665</v>
      </c>
    </row>
    <row r="91" spans="1:14" ht="22.5" hidden="1" customHeight="1">
      <c r="A91" s="1">
        <v>151022</v>
      </c>
      <c r="B91" s="3" t="s">
        <v>131</v>
      </c>
      <c r="C91" s="1" t="s">
        <v>25</v>
      </c>
      <c r="D91" s="1" t="s">
        <v>19</v>
      </c>
      <c r="E91" s="2">
        <v>380898</v>
      </c>
      <c r="F91" s="1" t="s">
        <v>5</v>
      </c>
      <c r="G91" s="11">
        <f t="shared" si="9"/>
        <v>247583.7</v>
      </c>
      <c r="H91" s="11">
        <f t="shared" si="10"/>
        <v>47040.903000000006</v>
      </c>
      <c r="I91" s="13">
        <f t="shared" si="11"/>
        <v>294624.603</v>
      </c>
      <c r="J91" s="11">
        <f t="shared" si="16"/>
        <v>327360.67</v>
      </c>
      <c r="K91" s="12">
        <f t="shared" si="12"/>
        <v>334800.68522727274</v>
      </c>
      <c r="L91" s="12">
        <f t="shared" si="13"/>
        <v>346617.18</v>
      </c>
      <c r="M91" s="12">
        <f t="shared" si="14"/>
        <v>368280.75374999997</v>
      </c>
      <c r="N91" s="12">
        <f t="shared" si="15"/>
        <v>392832.804</v>
      </c>
    </row>
    <row r="92" spans="1:14" ht="22.5" hidden="1" customHeight="1">
      <c r="A92" s="1">
        <v>151012</v>
      </c>
      <c r="B92" s="3" t="s">
        <v>132</v>
      </c>
      <c r="C92" s="1" t="s">
        <v>25</v>
      </c>
      <c r="D92" s="1" t="s">
        <v>19</v>
      </c>
      <c r="E92" s="2">
        <v>373523</v>
      </c>
      <c r="F92" s="1" t="s">
        <v>5</v>
      </c>
      <c r="G92" s="11">
        <f t="shared" si="9"/>
        <v>242789.95</v>
      </c>
      <c r="H92" s="11">
        <f t="shared" si="10"/>
        <v>46130.090500000006</v>
      </c>
      <c r="I92" s="13">
        <f t="shared" si="11"/>
        <v>288920.0405</v>
      </c>
      <c r="J92" s="11">
        <f t="shared" si="16"/>
        <v>321022.26722222223</v>
      </c>
      <c r="K92" s="12">
        <f t="shared" si="12"/>
        <v>328318.22784090909</v>
      </c>
      <c r="L92" s="12">
        <f t="shared" si="13"/>
        <v>339905.93</v>
      </c>
      <c r="M92" s="12">
        <f t="shared" si="14"/>
        <v>361150.05062499997</v>
      </c>
      <c r="N92" s="12">
        <f t="shared" si="15"/>
        <v>385226.72066666669</v>
      </c>
    </row>
    <row r="93" spans="1:14" ht="22.5" hidden="1" customHeight="1">
      <c r="A93" s="1">
        <v>108898</v>
      </c>
      <c r="B93" s="3" t="s">
        <v>133</v>
      </c>
      <c r="C93" s="1" t="s">
        <v>25</v>
      </c>
      <c r="D93" s="1" t="s">
        <v>16</v>
      </c>
      <c r="E93" s="2">
        <v>444476</v>
      </c>
      <c r="F93" s="1" t="s">
        <v>5</v>
      </c>
      <c r="G93" s="11">
        <f t="shared" si="9"/>
        <v>288909.40000000002</v>
      </c>
      <c r="H93" s="11">
        <f t="shared" si="10"/>
        <v>54892.786000000007</v>
      </c>
      <c r="I93" s="13">
        <f t="shared" si="11"/>
        <v>343802.18600000005</v>
      </c>
      <c r="J93" s="11">
        <f t="shared" si="16"/>
        <v>382002.42888888891</v>
      </c>
      <c r="K93" s="12">
        <f t="shared" si="12"/>
        <v>390684.30227272731</v>
      </c>
      <c r="L93" s="12">
        <f t="shared" si="13"/>
        <v>404473.16000000009</v>
      </c>
      <c r="M93" s="12">
        <f t="shared" si="14"/>
        <v>429752.73250000004</v>
      </c>
      <c r="N93" s="12">
        <f t="shared" si="15"/>
        <v>458402.91466666671</v>
      </c>
    </row>
    <row r="94" spans="1:14" ht="22.5" hidden="1" customHeight="1">
      <c r="A94" s="1">
        <v>109047</v>
      </c>
      <c r="B94" s="3" t="s">
        <v>134</v>
      </c>
      <c r="C94" s="1" t="s">
        <v>25</v>
      </c>
      <c r="D94" s="1" t="s">
        <v>16</v>
      </c>
      <c r="E94" s="2">
        <v>446613</v>
      </c>
      <c r="F94" s="1" t="s">
        <v>5</v>
      </c>
      <c r="G94" s="11">
        <f t="shared" si="9"/>
        <v>290298.45</v>
      </c>
      <c r="H94" s="11">
        <f t="shared" si="10"/>
        <v>55156.705500000004</v>
      </c>
      <c r="I94" s="13">
        <f t="shared" si="11"/>
        <v>345455.15549999999</v>
      </c>
      <c r="J94" s="11">
        <f t="shared" si="16"/>
        <v>383839.06166666665</v>
      </c>
      <c r="K94" s="12">
        <f t="shared" si="12"/>
        <v>392562.67670454545</v>
      </c>
      <c r="L94" s="12">
        <f t="shared" si="13"/>
        <v>406417.83</v>
      </c>
      <c r="M94" s="12">
        <f t="shared" si="14"/>
        <v>431818.94437499996</v>
      </c>
      <c r="N94" s="12">
        <f t="shared" si="15"/>
        <v>460606.87400000001</v>
      </c>
    </row>
    <row r="95" spans="1:14" ht="22.5" hidden="1" customHeight="1">
      <c r="A95" s="1">
        <v>108277</v>
      </c>
      <c r="B95" s="3" t="s">
        <v>135</v>
      </c>
      <c r="C95" s="1" t="s">
        <v>18</v>
      </c>
      <c r="D95" s="1" t="s">
        <v>16</v>
      </c>
      <c r="E95" s="2">
        <v>363757</v>
      </c>
      <c r="F95" s="1" t="s">
        <v>5</v>
      </c>
      <c r="G95" s="11">
        <f t="shared" si="9"/>
        <v>236442.05</v>
      </c>
      <c r="H95" s="11">
        <f t="shared" si="10"/>
        <v>44923.989499999996</v>
      </c>
      <c r="I95" s="13">
        <f t="shared" si="11"/>
        <v>281366.03949999996</v>
      </c>
      <c r="J95" s="11">
        <f t="shared" si="16"/>
        <v>312628.93277777772</v>
      </c>
      <c r="K95" s="12">
        <f t="shared" si="12"/>
        <v>319734.13579545449</v>
      </c>
      <c r="L95" s="12">
        <f t="shared" si="13"/>
        <v>331018.86999999994</v>
      </c>
      <c r="M95" s="12">
        <f t="shared" si="14"/>
        <v>351707.54937499994</v>
      </c>
      <c r="N95" s="12">
        <f t="shared" si="15"/>
        <v>375154.71933333325</v>
      </c>
    </row>
    <row r="96" spans="1:14" ht="22.5" hidden="1" customHeight="1">
      <c r="A96" s="1">
        <v>111608</v>
      </c>
      <c r="B96" s="3" t="s">
        <v>136</v>
      </c>
      <c r="C96" s="1" t="s">
        <v>25</v>
      </c>
      <c r="D96" s="1" t="s">
        <v>19</v>
      </c>
      <c r="E96" s="2">
        <v>349409</v>
      </c>
      <c r="F96" s="1">
        <v>1</v>
      </c>
      <c r="G96" s="11">
        <f t="shared" si="9"/>
        <v>227115.85</v>
      </c>
      <c r="H96" s="11">
        <f t="shared" si="10"/>
        <v>43152.011500000001</v>
      </c>
      <c r="I96" s="13">
        <f t="shared" si="11"/>
        <v>270267.8615</v>
      </c>
      <c r="J96" s="11">
        <f t="shared" si="16"/>
        <v>300297.62388888886</v>
      </c>
      <c r="K96" s="12">
        <f t="shared" si="12"/>
        <v>307122.56988636364</v>
      </c>
      <c r="L96" s="12">
        <f t="shared" si="13"/>
        <v>317962.19</v>
      </c>
      <c r="M96" s="12">
        <f t="shared" si="14"/>
        <v>337834.82687499997</v>
      </c>
      <c r="N96" s="12">
        <f t="shared" si="15"/>
        <v>360357.14866666665</v>
      </c>
    </row>
    <row r="97" spans="1:14" ht="22.5" hidden="1" customHeight="1">
      <c r="A97" s="1">
        <v>110059</v>
      </c>
      <c r="B97" s="3" t="s">
        <v>137</v>
      </c>
      <c r="C97" s="1" t="s">
        <v>25</v>
      </c>
      <c r="D97" s="1" t="s">
        <v>16</v>
      </c>
      <c r="E97" s="2">
        <v>508554</v>
      </c>
      <c r="F97" s="1">
        <v>5</v>
      </c>
      <c r="G97" s="11">
        <f t="shared" si="9"/>
        <v>330560.09999999998</v>
      </c>
      <c r="H97" s="11">
        <f t="shared" si="10"/>
        <v>62806.418999999994</v>
      </c>
      <c r="I97" s="13">
        <f t="shared" si="11"/>
        <v>393366.51899999997</v>
      </c>
      <c r="J97" s="11">
        <f t="shared" si="16"/>
        <v>437073.91</v>
      </c>
      <c r="K97" s="12">
        <f t="shared" si="12"/>
        <v>447007.4079545454</v>
      </c>
      <c r="L97" s="12">
        <f t="shared" si="13"/>
        <v>462784.13999999996</v>
      </c>
      <c r="M97" s="12">
        <f t="shared" si="14"/>
        <v>491708.14874999993</v>
      </c>
      <c r="N97" s="12">
        <f t="shared" si="15"/>
        <v>524488.69199999992</v>
      </c>
    </row>
    <row r="98" spans="1:14" ht="22.5" hidden="1" customHeight="1">
      <c r="A98" s="1">
        <v>112797</v>
      </c>
      <c r="B98" s="3" t="s">
        <v>138</v>
      </c>
      <c r="C98" s="1" t="s">
        <v>18</v>
      </c>
      <c r="D98" s="1" t="s">
        <v>79</v>
      </c>
      <c r="E98" s="2">
        <v>307301</v>
      </c>
      <c r="F98" s="1">
        <v>34</v>
      </c>
      <c r="G98" s="11">
        <f t="shared" si="9"/>
        <v>199745.65000000002</v>
      </c>
      <c r="H98" s="11">
        <f t="shared" si="10"/>
        <v>37951.673500000004</v>
      </c>
      <c r="I98" s="13">
        <f t="shared" si="11"/>
        <v>237697.32350000003</v>
      </c>
      <c r="J98" s="11">
        <f t="shared" si="16"/>
        <v>264108.13722222223</v>
      </c>
      <c r="K98" s="12">
        <f t="shared" si="12"/>
        <v>270110.59488636366</v>
      </c>
      <c r="L98" s="12">
        <f t="shared" si="13"/>
        <v>279643.91000000003</v>
      </c>
      <c r="M98" s="12">
        <f t="shared" si="14"/>
        <v>297121.65437500004</v>
      </c>
      <c r="N98" s="12">
        <f t="shared" si="15"/>
        <v>316929.76466666668</v>
      </c>
    </row>
    <row r="99" spans="1:14" ht="22.5" hidden="1" customHeight="1">
      <c r="A99" s="1">
        <v>150434</v>
      </c>
      <c r="B99" s="3" t="s">
        <v>139</v>
      </c>
      <c r="C99" s="1" t="s">
        <v>25</v>
      </c>
      <c r="D99" s="1" t="s">
        <v>23</v>
      </c>
      <c r="E99" s="2">
        <v>628240</v>
      </c>
      <c r="F99" s="1" t="s">
        <v>5</v>
      </c>
      <c r="G99" s="11">
        <f t="shared" si="9"/>
        <v>408356</v>
      </c>
      <c r="H99" s="11">
        <f t="shared" si="10"/>
        <v>77587.64</v>
      </c>
      <c r="I99" s="13">
        <f t="shared" si="11"/>
        <v>485943.64</v>
      </c>
      <c r="J99" s="11">
        <f t="shared" si="16"/>
        <v>539937.37777777773</v>
      </c>
      <c r="K99" s="12">
        <f t="shared" si="12"/>
        <v>552208.68181818188</v>
      </c>
      <c r="L99" s="12">
        <f t="shared" si="13"/>
        <v>571698.4</v>
      </c>
      <c r="M99" s="12">
        <f t="shared" si="14"/>
        <v>607429.54999999993</v>
      </c>
      <c r="N99" s="12">
        <f t="shared" si="15"/>
        <v>647924.85333333339</v>
      </c>
    </row>
    <row r="100" spans="1:14" ht="22.5" hidden="1" customHeight="1">
      <c r="A100" s="1">
        <v>151148</v>
      </c>
      <c r="B100" s="3" t="s">
        <v>140</v>
      </c>
      <c r="C100" s="1" t="s">
        <v>25</v>
      </c>
      <c r="D100" s="1" t="s">
        <v>19</v>
      </c>
      <c r="E100" s="2">
        <v>372373</v>
      </c>
      <c r="F100" s="1">
        <v>35</v>
      </c>
      <c r="G100" s="11">
        <f t="shared" si="9"/>
        <v>242042.45</v>
      </c>
      <c r="H100" s="11">
        <f t="shared" si="10"/>
        <v>45988.065500000004</v>
      </c>
      <c r="I100" s="13">
        <f t="shared" si="11"/>
        <v>288030.51550000004</v>
      </c>
      <c r="J100" s="11">
        <f t="shared" si="16"/>
        <v>320033.90611111117</v>
      </c>
      <c r="K100" s="12">
        <f t="shared" si="12"/>
        <v>327307.40397727274</v>
      </c>
      <c r="L100" s="12">
        <f t="shared" si="13"/>
        <v>338859.43000000005</v>
      </c>
      <c r="M100" s="12">
        <f t="shared" si="14"/>
        <v>360038.14437500003</v>
      </c>
      <c r="N100" s="12">
        <f t="shared" si="15"/>
        <v>384040.68733333336</v>
      </c>
    </row>
    <row r="101" spans="1:14" ht="22.5" hidden="1" customHeight="1">
      <c r="A101" s="1">
        <v>112856</v>
      </c>
      <c r="B101" s="3" t="s">
        <v>141</v>
      </c>
      <c r="C101" s="1" t="s">
        <v>25</v>
      </c>
      <c r="D101" s="1" t="s">
        <v>34</v>
      </c>
      <c r="E101" s="2">
        <v>524623</v>
      </c>
      <c r="F101" s="1">
        <v>80</v>
      </c>
      <c r="G101" s="11">
        <f t="shared" si="9"/>
        <v>341004.95</v>
      </c>
      <c r="H101" s="11">
        <f t="shared" si="10"/>
        <v>64790.940500000004</v>
      </c>
      <c r="I101" s="13">
        <f t="shared" si="11"/>
        <v>405795.89050000004</v>
      </c>
      <c r="J101" s="11">
        <f t="shared" si="16"/>
        <v>450884.32277777779</v>
      </c>
      <c r="K101" s="12">
        <f t="shared" si="12"/>
        <v>461131.69375000003</v>
      </c>
      <c r="L101" s="12">
        <f t="shared" si="13"/>
        <v>477406.93000000005</v>
      </c>
      <c r="M101" s="12">
        <f t="shared" si="14"/>
        <v>507244.86312500003</v>
      </c>
      <c r="N101" s="12">
        <f t="shared" si="15"/>
        <v>541061.18733333342</v>
      </c>
    </row>
    <row r="102" spans="1:14" ht="22.5" hidden="1" customHeight="1">
      <c r="A102" s="1">
        <v>150978</v>
      </c>
      <c r="B102" s="3" t="s">
        <v>142</v>
      </c>
      <c r="C102" s="1" t="s">
        <v>18</v>
      </c>
      <c r="D102" s="1" t="s">
        <v>46</v>
      </c>
      <c r="E102" s="2">
        <v>304568</v>
      </c>
      <c r="F102" s="1">
        <v>89</v>
      </c>
      <c r="G102" s="11">
        <f t="shared" si="9"/>
        <v>197969.2</v>
      </c>
      <c r="H102" s="11">
        <f t="shared" si="10"/>
        <v>37614.148000000001</v>
      </c>
      <c r="I102" s="13">
        <f t="shared" si="11"/>
        <v>235583.348</v>
      </c>
      <c r="J102" s="11">
        <f t="shared" si="16"/>
        <v>261759.27555555553</v>
      </c>
      <c r="K102" s="12">
        <f t="shared" si="12"/>
        <v>267708.34999999998</v>
      </c>
      <c r="L102" s="12">
        <f t="shared" si="13"/>
        <v>277156.88</v>
      </c>
      <c r="M102" s="12">
        <f t="shared" si="14"/>
        <v>294479.185</v>
      </c>
      <c r="N102" s="12">
        <f t="shared" si="15"/>
        <v>314111.13066666666</v>
      </c>
    </row>
    <row r="103" spans="1:14" ht="22.5" hidden="1" customHeight="1">
      <c r="A103" s="1" t="s">
        <v>143</v>
      </c>
      <c r="B103" s="3" t="s">
        <v>144</v>
      </c>
      <c r="C103" s="1" t="s">
        <v>25</v>
      </c>
      <c r="D103" s="1" t="s">
        <v>69</v>
      </c>
      <c r="E103" s="2">
        <v>721172</v>
      </c>
      <c r="F103" s="1">
        <v>2</v>
      </c>
      <c r="G103" s="11">
        <f t="shared" si="9"/>
        <v>468761.80000000005</v>
      </c>
      <c r="H103" s="11">
        <f t="shared" si="10"/>
        <v>89064.742000000013</v>
      </c>
      <c r="I103" s="13">
        <f t="shared" si="11"/>
        <v>557826.54200000002</v>
      </c>
      <c r="J103" s="11">
        <f t="shared" si="16"/>
        <v>619807.26888888888</v>
      </c>
      <c r="K103" s="12">
        <f t="shared" si="12"/>
        <v>633893.79772727273</v>
      </c>
      <c r="L103" s="12">
        <f t="shared" si="13"/>
        <v>656266.52</v>
      </c>
      <c r="M103" s="12">
        <f t="shared" si="14"/>
        <v>697283.17749999999</v>
      </c>
      <c r="N103" s="12">
        <f t="shared" si="15"/>
        <v>743768.72266666673</v>
      </c>
    </row>
    <row r="104" spans="1:14" ht="22.5" hidden="1" customHeight="1">
      <c r="A104" s="1">
        <v>151009</v>
      </c>
      <c r="B104" s="3" t="s">
        <v>145</v>
      </c>
      <c r="C104" s="1" t="s">
        <v>25</v>
      </c>
      <c r="D104" s="1" t="s">
        <v>19</v>
      </c>
      <c r="E104" s="2">
        <v>321943</v>
      </c>
      <c r="F104" s="1">
        <v>17</v>
      </c>
      <c r="G104" s="11">
        <f t="shared" si="9"/>
        <v>209262.95</v>
      </c>
      <c r="H104" s="11">
        <f t="shared" si="10"/>
        <v>39759.960500000001</v>
      </c>
      <c r="I104" s="13">
        <f t="shared" si="11"/>
        <v>249022.9105</v>
      </c>
      <c r="J104" s="11">
        <f t="shared" si="16"/>
        <v>276692.12277777778</v>
      </c>
      <c r="K104" s="12">
        <f t="shared" si="12"/>
        <v>282980.58011363639</v>
      </c>
      <c r="L104" s="12">
        <f t="shared" si="13"/>
        <v>292968.13</v>
      </c>
      <c r="M104" s="12">
        <f t="shared" si="14"/>
        <v>311278.638125</v>
      </c>
      <c r="N104" s="12">
        <f t="shared" si="15"/>
        <v>332030.54733333335</v>
      </c>
    </row>
    <row r="105" spans="1:14" ht="22.5" hidden="1" customHeight="1">
      <c r="A105" s="1">
        <v>108212</v>
      </c>
      <c r="B105" s="3" t="s">
        <v>146</v>
      </c>
      <c r="C105" s="1" t="s">
        <v>25</v>
      </c>
      <c r="D105" s="1" t="s">
        <v>16</v>
      </c>
      <c r="E105" s="2">
        <v>435442</v>
      </c>
      <c r="F105" s="1">
        <v>47</v>
      </c>
      <c r="G105" s="11">
        <f t="shared" si="9"/>
        <v>283037.30000000005</v>
      </c>
      <c r="H105" s="11">
        <f t="shared" si="10"/>
        <v>53777.087000000007</v>
      </c>
      <c r="I105" s="13">
        <f t="shared" si="11"/>
        <v>336814.38700000005</v>
      </c>
      <c r="J105" s="11">
        <f t="shared" si="16"/>
        <v>374238.2077777778</v>
      </c>
      <c r="K105" s="12">
        <f t="shared" si="12"/>
        <v>382743.62159090914</v>
      </c>
      <c r="L105" s="12">
        <f t="shared" si="13"/>
        <v>396252.22000000009</v>
      </c>
      <c r="M105" s="12">
        <f t="shared" si="14"/>
        <v>421017.98375000001</v>
      </c>
      <c r="N105" s="12">
        <f t="shared" si="15"/>
        <v>449085.84933333338</v>
      </c>
    </row>
    <row r="106" spans="1:14" ht="22.5" hidden="1" customHeight="1">
      <c r="A106" s="1">
        <v>109737</v>
      </c>
      <c r="B106" s="3" t="s">
        <v>147</v>
      </c>
      <c r="C106" s="1" t="s">
        <v>25</v>
      </c>
      <c r="D106" s="1" t="s">
        <v>23</v>
      </c>
      <c r="E106" s="2">
        <v>439804</v>
      </c>
      <c r="F106" s="1">
        <v>3</v>
      </c>
      <c r="G106" s="11">
        <f t="shared" si="9"/>
        <v>285872.59999999998</v>
      </c>
      <c r="H106" s="11">
        <f t="shared" si="10"/>
        <v>54315.793999999994</v>
      </c>
      <c r="I106" s="13">
        <f t="shared" si="11"/>
        <v>340188.39399999997</v>
      </c>
      <c r="J106" s="11">
        <f t="shared" si="16"/>
        <v>377987.10444444441</v>
      </c>
      <c r="K106" s="12">
        <f t="shared" si="12"/>
        <v>386577.7204545454</v>
      </c>
      <c r="L106" s="12">
        <f t="shared" si="13"/>
        <v>400221.63999999996</v>
      </c>
      <c r="M106" s="12">
        <f t="shared" si="14"/>
        <v>425235.49249999993</v>
      </c>
      <c r="N106" s="12">
        <f t="shared" si="15"/>
        <v>453584.52533333329</v>
      </c>
    </row>
    <row r="107" spans="1:14" ht="22.5" hidden="1" customHeight="1">
      <c r="A107" s="1">
        <v>109736</v>
      </c>
      <c r="B107" s="3" t="s">
        <v>148</v>
      </c>
      <c r="C107" s="1" t="s">
        <v>18</v>
      </c>
      <c r="D107" s="1" t="s">
        <v>23</v>
      </c>
      <c r="E107" s="2">
        <v>419325</v>
      </c>
      <c r="F107" s="1">
        <v>52</v>
      </c>
      <c r="G107" s="11">
        <f t="shared" si="9"/>
        <v>272561.25</v>
      </c>
      <c r="H107" s="11">
        <f t="shared" si="10"/>
        <v>51786.637499999997</v>
      </c>
      <c r="I107" s="13">
        <f t="shared" si="11"/>
        <v>324347.88750000001</v>
      </c>
      <c r="J107" s="11">
        <f t="shared" si="16"/>
        <v>360386.54166666669</v>
      </c>
      <c r="K107" s="12">
        <f t="shared" si="12"/>
        <v>368577.14488636365</v>
      </c>
      <c r="L107" s="12">
        <f t="shared" si="13"/>
        <v>381585.75</v>
      </c>
      <c r="M107" s="12">
        <f t="shared" si="14"/>
        <v>405434.859375</v>
      </c>
      <c r="N107" s="12">
        <f t="shared" si="15"/>
        <v>432463.85000000003</v>
      </c>
    </row>
    <row r="108" spans="1:14" ht="22.5" hidden="1" customHeight="1">
      <c r="A108" s="1">
        <v>110918</v>
      </c>
      <c r="B108" s="3" t="s">
        <v>149</v>
      </c>
      <c r="C108" s="1" t="s">
        <v>25</v>
      </c>
      <c r="D108" s="1" t="s">
        <v>23</v>
      </c>
      <c r="E108" s="2">
        <v>390144</v>
      </c>
      <c r="F108" s="1">
        <v>1</v>
      </c>
      <c r="G108" s="11">
        <f t="shared" si="9"/>
        <v>253593.60000000001</v>
      </c>
      <c r="H108" s="11">
        <f t="shared" si="10"/>
        <v>48182.784</v>
      </c>
      <c r="I108" s="13">
        <f t="shared" si="11"/>
        <v>301776.38400000002</v>
      </c>
      <c r="J108" s="11">
        <f t="shared" si="16"/>
        <v>335307.09333333332</v>
      </c>
      <c r="K108" s="12">
        <f t="shared" si="12"/>
        <v>342927.70909090911</v>
      </c>
      <c r="L108" s="12">
        <f t="shared" si="13"/>
        <v>355031.04000000004</v>
      </c>
      <c r="M108" s="12">
        <f t="shared" si="14"/>
        <v>377220.48</v>
      </c>
      <c r="N108" s="12">
        <f t="shared" si="15"/>
        <v>402368.51200000005</v>
      </c>
    </row>
    <row r="109" spans="1:14" ht="22.5" hidden="1" customHeight="1">
      <c r="A109" s="1">
        <v>110117</v>
      </c>
      <c r="B109" s="3" t="s">
        <v>150</v>
      </c>
      <c r="C109" s="1" t="s">
        <v>18</v>
      </c>
      <c r="D109" s="1" t="s">
        <v>29</v>
      </c>
      <c r="E109" s="2">
        <v>376435</v>
      </c>
      <c r="F109" s="1">
        <v>40</v>
      </c>
      <c r="G109" s="11">
        <f t="shared" si="9"/>
        <v>244682.75</v>
      </c>
      <c r="H109" s="11">
        <f t="shared" si="10"/>
        <v>46489.722500000003</v>
      </c>
      <c r="I109" s="13">
        <f t="shared" si="11"/>
        <v>291172.47250000003</v>
      </c>
      <c r="J109" s="11">
        <f t="shared" si="16"/>
        <v>323524.96944444446</v>
      </c>
      <c r="K109" s="12">
        <f t="shared" si="12"/>
        <v>330877.80965909094</v>
      </c>
      <c r="L109" s="12">
        <f t="shared" si="13"/>
        <v>342555.85000000003</v>
      </c>
      <c r="M109" s="12">
        <f t="shared" si="14"/>
        <v>363965.59062500001</v>
      </c>
      <c r="N109" s="12">
        <f t="shared" si="15"/>
        <v>388229.96333333338</v>
      </c>
    </row>
    <row r="110" spans="1:14" ht="22.5" hidden="1" customHeight="1">
      <c r="A110" s="1">
        <v>151330</v>
      </c>
      <c r="B110" s="3" t="s">
        <v>151</v>
      </c>
      <c r="C110" s="1" t="s">
        <v>25</v>
      </c>
      <c r="D110" s="1" t="s">
        <v>23</v>
      </c>
      <c r="E110" s="2">
        <v>369859</v>
      </c>
      <c r="F110" s="1">
        <v>68</v>
      </c>
      <c r="G110" s="11">
        <f t="shared" si="9"/>
        <v>240408.35</v>
      </c>
      <c r="H110" s="11">
        <f t="shared" si="10"/>
        <v>45677.586500000005</v>
      </c>
      <c r="I110" s="13">
        <f t="shared" si="11"/>
        <v>286085.93650000001</v>
      </c>
      <c r="J110" s="11">
        <f t="shared" si="16"/>
        <v>317873.2627777778</v>
      </c>
      <c r="K110" s="12">
        <f t="shared" si="12"/>
        <v>325097.6551136364</v>
      </c>
      <c r="L110" s="12">
        <f t="shared" si="13"/>
        <v>336571.69</v>
      </c>
      <c r="M110" s="12">
        <f t="shared" si="14"/>
        <v>357607.42062499997</v>
      </c>
      <c r="N110" s="12">
        <f t="shared" si="15"/>
        <v>381447.91533333337</v>
      </c>
    </row>
    <row r="111" spans="1:14" ht="22.5" hidden="1" customHeight="1">
      <c r="A111" s="1" t="s">
        <v>152</v>
      </c>
      <c r="B111" s="3" t="s">
        <v>153</v>
      </c>
      <c r="C111" s="1" t="s">
        <v>18</v>
      </c>
      <c r="D111" s="1" t="s">
        <v>84</v>
      </c>
      <c r="E111" s="2">
        <v>752083</v>
      </c>
      <c r="F111" s="1">
        <v>4</v>
      </c>
      <c r="G111" s="11">
        <f t="shared" si="9"/>
        <v>488853.95</v>
      </c>
      <c r="H111" s="11">
        <f t="shared" si="10"/>
        <v>92882.250500000009</v>
      </c>
      <c r="I111" s="13">
        <f t="shared" si="11"/>
        <v>581736.20050000004</v>
      </c>
      <c r="J111" s="11">
        <f t="shared" si="16"/>
        <v>646373.55611111119</v>
      </c>
      <c r="K111" s="12">
        <f t="shared" si="12"/>
        <v>661063.86420454551</v>
      </c>
      <c r="L111" s="12">
        <f t="shared" si="13"/>
        <v>684395.53</v>
      </c>
      <c r="M111" s="12">
        <f t="shared" si="14"/>
        <v>727170.25062499999</v>
      </c>
      <c r="N111" s="12">
        <f t="shared" si="15"/>
        <v>775648.26733333338</v>
      </c>
    </row>
    <row r="112" spans="1:14" ht="22.5" hidden="1" customHeight="1">
      <c r="A112" s="1">
        <v>151239</v>
      </c>
      <c r="B112" s="3" t="s">
        <v>154</v>
      </c>
      <c r="C112" s="1" t="s">
        <v>39</v>
      </c>
      <c r="D112" s="1" t="s">
        <v>155</v>
      </c>
      <c r="E112" s="2">
        <v>358679</v>
      </c>
      <c r="F112" s="1">
        <v>4</v>
      </c>
      <c r="G112" s="11">
        <f t="shared" si="9"/>
        <v>233141.35</v>
      </c>
      <c r="H112" s="11">
        <f t="shared" si="10"/>
        <v>44296.856500000002</v>
      </c>
      <c r="I112" s="13">
        <f t="shared" si="11"/>
        <v>277438.20650000003</v>
      </c>
      <c r="J112" s="11">
        <f t="shared" si="16"/>
        <v>308264.67388888891</v>
      </c>
      <c r="K112" s="12">
        <f t="shared" si="12"/>
        <v>315270.68920454546</v>
      </c>
      <c r="L112" s="12">
        <f t="shared" si="13"/>
        <v>326397.89</v>
      </c>
      <c r="M112" s="12">
        <f t="shared" si="14"/>
        <v>346797.75812499999</v>
      </c>
      <c r="N112" s="12">
        <f t="shared" si="15"/>
        <v>369917.60866666673</v>
      </c>
    </row>
    <row r="113" spans="1:14" ht="22.5" hidden="1" customHeight="1">
      <c r="A113" s="1">
        <v>112472</v>
      </c>
      <c r="B113" s="3" t="s">
        <v>156</v>
      </c>
      <c r="C113" s="1" t="s">
        <v>22</v>
      </c>
      <c r="D113" s="1" t="s">
        <v>16</v>
      </c>
      <c r="E113" s="2">
        <v>132896</v>
      </c>
      <c r="F113" s="1">
        <v>5</v>
      </c>
      <c r="G113" s="11">
        <f t="shared" si="9"/>
        <v>86382.399999999994</v>
      </c>
      <c r="H113" s="11">
        <f t="shared" si="10"/>
        <v>16412.655999999999</v>
      </c>
      <c r="I113" s="13">
        <f t="shared" si="11"/>
        <v>102795.056</v>
      </c>
      <c r="J113" s="11">
        <f t="shared" si="16"/>
        <v>114216.72888888889</v>
      </c>
      <c r="K113" s="12">
        <f t="shared" si="12"/>
        <v>116812.56363636363</v>
      </c>
      <c r="L113" s="12">
        <f t="shared" si="13"/>
        <v>120935.36</v>
      </c>
      <c r="M113" s="12">
        <f t="shared" si="14"/>
        <v>128493.81999999999</v>
      </c>
      <c r="N113" s="12">
        <f t="shared" si="15"/>
        <v>137060.07466666665</v>
      </c>
    </row>
    <row r="114" spans="1:14" ht="22.5" hidden="1" customHeight="1">
      <c r="A114" s="1">
        <v>112471</v>
      </c>
      <c r="B114" s="3" t="s">
        <v>157</v>
      </c>
      <c r="C114" s="1" t="s">
        <v>15</v>
      </c>
      <c r="D114" s="1" t="s">
        <v>16</v>
      </c>
      <c r="E114" s="2">
        <v>119060</v>
      </c>
      <c r="F114" s="1">
        <v>36</v>
      </c>
      <c r="G114" s="11">
        <f t="shared" si="9"/>
        <v>77389</v>
      </c>
      <c r="H114" s="11">
        <f t="shared" si="10"/>
        <v>14703.91</v>
      </c>
      <c r="I114" s="13">
        <f t="shared" si="11"/>
        <v>92092.91</v>
      </c>
      <c r="J114" s="11">
        <f t="shared" si="16"/>
        <v>102325.45555555556</v>
      </c>
      <c r="K114" s="12">
        <f t="shared" si="12"/>
        <v>104651.03409090909</v>
      </c>
      <c r="L114" s="12">
        <f t="shared" si="13"/>
        <v>108344.6</v>
      </c>
      <c r="M114" s="12">
        <f t="shared" si="14"/>
        <v>115116.1375</v>
      </c>
      <c r="N114" s="12">
        <f t="shared" si="15"/>
        <v>122790.54666666668</v>
      </c>
    </row>
    <row r="115" spans="1:14" ht="22.5" hidden="1" customHeight="1">
      <c r="A115" s="1">
        <v>111775</v>
      </c>
      <c r="B115" s="3" t="s">
        <v>158</v>
      </c>
      <c r="C115" s="1" t="s">
        <v>15</v>
      </c>
      <c r="D115" s="1" t="s">
        <v>16</v>
      </c>
      <c r="E115" s="2">
        <v>127688</v>
      </c>
      <c r="F115" s="1" t="s">
        <v>5</v>
      </c>
      <c r="G115" s="11">
        <f t="shared" si="9"/>
        <v>82997.200000000012</v>
      </c>
      <c r="H115" s="11">
        <f t="shared" si="10"/>
        <v>15769.468000000003</v>
      </c>
      <c r="I115" s="13">
        <f t="shared" si="11"/>
        <v>98766.66800000002</v>
      </c>
      <c r="J115" s="11">
        <f t="shared" si="16"/>
        <v>109740.74222222224</v>
      </c>
      <c r="K115" s="12">
        <f t="shared" si="12"/>
        <v>112234.85000000002</v>
      </c>
      <c r="L115" s="12">
        <f t="shared" si="13"/>
        <v>116196.08000000003</v>
      </c>
      <c r="M115" s="12">
        <f t="shared" si="14"/>
        <v>123458.33500000002</v>
      </c>
      <c r="N115" s="12">
        <f t="shared" si="15"/>
        <v>131688.8906666667</v>
      </c>
    </row>
    <row r="116" spans="1:14" ht="22.5" hidden="1" customHeight="1">
      <c r="A116" s="1" t="s">
        <v>159</v>
      </c>
      <c r="B116" s="3" t="s">
        <v>160</v>
      </c>
      <c r="C116" s="1" t="s">
        <v>15</v>
      </c>
      <c r="D116" s="1" t="s">
        <v>86</v>
      </c>
      <c r="E116" s="2">
        <v>266544</v>
      </c>
      <c r="F116" s="1">
        <v>1</v>
      </c>
      <c r="G116" s="11">
        <f t="shared" si="9"/>
        <v>173253.6</v>
      </c>
      <c r="H116" s="11">
        <f t="shared" si="10"/>
        <v>32918.184000000001</v>
      </c>
      <c r="I116" s="13">
        <f t="shared" si="11"/>
        <v>206171.78400000001</v>
      </c>
      <c r="J116" s="11">
        <f t="shared" si="16"/>
        <v>229079.76</v>
      </c>
      <c r="K116" s="12">
        <f t="shared" si="12"/>
        <v>234286.11818181819</v>
      </c>
      <c r="L116" s="12">
        <f t="shared" si="13"/>
        <v>242555.04000000004</v>
      </c>
      <c r="M116" s="12">
        <f t="shared" si="14"/>
        <v>257714.73</v>
      </c>
      <c r="N116" s="12">
        <f t="shared" si="15"/>
        <v>274895.712</v>
      </c>
    </row>
    <row r="117" spans="1:14" ht="22.5" hidden="1" customHeight="1">
      <c r="A117" s="1">
        <v>112807</v>
      </c>
      <c r="B117" s="3" t="s">
        <v>161</v>
      </c>
      <c r="C117" s="1" t="s">
        <v>15</v>
      </c>
      <c r="D117" s="1" t="s">
        <v>79</v>
      </c>
      <c r="E117" s="2">
        <v>111179</v>
      </c>
      <c r="F117" s="1" t="s">
        <v>5</v>
      </c>
      <c r="G117" s="11">
        <f t="shared" si="9"/>
        <v>72266.350000000006</v>
      </c>
      <c r="H117" s="11">
        <f t="shared" si="10"/>
        <v>13730.606500000002</v>
      </c>
      <c r="I117" s="13">
        <f t="shared" si="11"/>
        <v>85996.9565</v>
      </c>
      <c r="J117" s="11">
        <f t="shared" si="16"/>
        <v>95552.173888888894</v>
      </c>
      <c r="K117" s="12">
        <f t="shared" si="12"/>
        <v>97723.814204545459</v>
      </c>
      <c r="L117" s="12">
        <f t="shared" si="13"/>
        <v>101172.89</v>
      </c>
      <c r="M117" s="12">
        <f t="shared" si="14"/>
        <v>107496.19562499999</v>
      </c>
      <c r="N117" s="12">
        <f t="shared" si="15"/>
        <v>114662.60866666667</v>
      </c>
    </row>
    <row r="118" spans="1:14" ht="22.5" hidden="1" customHeight="1">
      <c r="A118" s="1">
        <v>150958</v>
      </c>
      <c r="B118" s="3" t="s">
        <v>162</v>
      </c>
      <c r="C118" s="1" t="s">
        <v>15</v>
      </c>
      <c r="D118" s="1" t="s">
        <v>46</v>
      </c>
      <c r="E118" s="2">
        <v>109573</v>
      </c>
      <c r="F118" s="1" t="s">
        <v>5</v>
      </c>
      <c r="G118" s="11">
        <f t="shared" si="9"/>
        <v>71222.450000000012</v>
      </c>
      <c r="H118" s="11">
        <f t="shared" si="10"/>
        <v>13532.265500000003</v>
      </c>
      <c r="I118" s="13">
        <f t="shared" si="11"/>
        <v>84754.71550000002</v>
      </c>
      <c r="J118" s="11">
        <f t="shared" si="16"/>
        <v>94171.906111111137</v>
      </c>
      <c r="K118" s="12">
        <f t="shared" si="12"/>
        <v>96312.176704545476</v>
      </c>
      <c r="L118" s="12">
        <f t="shared" si="13"/>
        <v>99711.430000000022</v>
      </c>
      <c r="M118" s="12">
        <f t="shared" si="14"/>
        <v>105943.39437500002</v>
      </c>
      <c r="N118" s="12">
        <f t="shared" si="15"/>
        <v>113006.28733333336</v>
      </c>
    </row>
    <row r="119" spans="1:14" ht="22.5" hidden="1" customHeight="1">
      <c r="A119" s="1">
        <v>150694</v>
      </c>
      <c r="B119" s="3" t="s">
        <v>163</v>
      </c>
      <c r="C119" s="1" t="s">
        <v>15</v>
      </c>
      <c r="D119" s="1" t="s">
        <v>23</v>
      </c>
      <c r="E119" s="2">
        <v>156929</v>
      </c>
      <c r="F119" s="1" t="s">
        <v>5</v>
      </c>
      <c r="G119" s="11">
        <f t="shared" si="9"/>
        <v>102003.85</v>
      </c>
      <c r="H119" s="11">
        <f t="shared" si="10"/>
        <v>19380.731500000002</v>
      </c>
      <c r="I119" s="13">
        <f t="shared" si="11"/>
        <v>121384.5815</v>
      </c>
      <c r="J119" s="11">
        <f t="shared" si="16"/>
        <v>134871.75722222222</v>
      </c>
      <c r="K119" s="12">
        <f t="shared" si="12"/>
        <v>137937.02443181819</v>
      </c>
      <c r="L119" s="12">
        <f t="shared" si="13"/>
        <v>142805.39000000001</v>
      </c>
      <c r="M119" s="12">
        <f t="shared" si="14"/>
        <v>151730.72687499999</v>
      </c>
      <c r="N119" s="12">
        <f t="shared" si="15"/>
        <v>161846.10866666667</v>
      </c>
    </row>
    <row r="120" spans="1:14" ht="22.5" hidden="1" customHeight="1">
      <c r="A120" s="1">
        <v>150496</v>
      </c>
      <c r="B120" s="3" t="s">
        <v>164</v>
      </c>
      <c r="C120" s="1" t="s">
        <v>39</v>
      </c>
      <c r="D120" s="1" t="s">
        <v>165</v>
      </c>
      <c r="E120" s="2">
        <v>125423</v>
      </c>
      <c r="F120" s="1">
        <v>98</v>
      </c>
      <c r="G120" s="11">
        <f t="shared" si="9"/>
        <v>81524.950000000012</v>
      </c>
      <c r="H120" s="11">
        <f t="shared" si="10"/>
        <v>15489.740500000002</v>
      </c>
      <c r="I120" s="13">
        <f t="shared" si="11"/>
        <v>97014.690500000012</v>
      </c>
      <c r="J120" s="11">
        <f t="shared" si="16"/>
        <v>107794.10055555556</v>
      </c>
      <c r="K120" s="12">
        <f t="shared" si="12"/>
        <v>110243.96647727274</v>
      </c>
      <c r="L120" s="12">
        <f t="shared" si="13"/>
        <v>114134.93000000002</v>
      </c>
      <c r="M120" s="12">
        <f t="shared" si="14"/>
        <v>121268.363125</v>
      </c>
      <c r="N120" s="12">
        <f t="shared" si="15"/>
        <v>129352.92066666669</v>
      </c>
    </row>
    <row r="121" spans="1:14" ht="22.5" hidden="1" customHeight="1">
      <c r="A121" s="1">
        <v>110471</v>
      </c>
      <c r="B121" s="3" t="s">
        <v>166</v>
      </c>
      <c r="C121" s="1" t="s">
        <v>15</v>
      </c>
      <c r="D121" s="1" t="s">
        <v>29</v>
      </c>
      <c r="E121" s="2">
        <v>119182</v>
      </c>
      <c r="F121" s="1" t="s">
        <v>5</v>
      </c>
      <c r="G121" s="11">
        <f t="shared" si="9"/>
        <v>77468.3</v>
      </c>
      <c r="H121" s="11">
        <f t="shared" si="10"/>
        <v>14718.977000000001</v>
      </c>
      <c r="I121" s="13">
        <f t="shared" si="11"/>
        <v>92187.277000000002</v>
      </c>
      <c r="J121" s="11">
        <f t="shared" si="16"/>
        <v>102430.30777777778</v>
      </c>
      <c r="K121" s="12">
        <f t="shared" si="12"/>
        <v>104758.26931818182</v>
      </c>
      <c r="L121" s="12">
        <f t="shared" si="13"/>
        <v>108455.62000000001</v>
      </c>
      <c r="M121" s="12">
        <f t="shared" si="14"/>
        <v>115234.09625</v>
      </c>
      <c r="N121" s="12">
        <f t="shared" si="15"/>
        <v>122916.36933333334</v>
      </c>
    </row>
    <row r="122" spans="1:14" ht="22.5" hidden="1" customHeight="1">
      <c r="A122" s="1">
        <v>110116</v>
      </c>
      <c r="B122" s="3" t="s">
        <v>167</v>
      </c>
      <c r="C122" s="1" t="s">
        <v>22</v>
      </c>
      <c r="D122" s="1" t="s">
        <v>29</v>
      </c>
      <c r="E122" s="2">
        <v>148463</v>
      </c>
      <c r="F122" s="1" t="s">
        <v>5</v>
      </c>
      <c r="G122" s="11">
        <f t="shared" si="9"/>
        <v>96500.950000000012</v>
      </c>
      <c r="H122" s="11">
        <f t="shared" si="10"/>
        <v>18335.180500000002</v>
      </c>
      <c r="I122" s="13">
        <f t="shared" si="11"/>
        <v>114836.13050000001</v>
      </c>
      <c r="J122" s="11">
        <f t="shared" si="16"/>
        <v>127595.70055555557</v>
      </c>
      <c r="K122" s="12">
        <f t="shared" si="12"/>
        <v>130495.60284090911</v>
      </c>
      <c r="L122" s="12">
        <f t="shared" si="13"/>
        <v>135101.33000000002</v>
      </c>
      <c r="M122" s="12">
        <f t="shared" si="14"/>
        <v>143545.16312500002</v>
      </c>
      <c r="N122" s="12">
        <f t="shared" si="15"/>
        <v>153114.84066666669</v>
      </c>
    </row>
    <row r="123" spans="1:14" ht="22.5" hidden="1" customHeight="1">
      <c r="A123" s="1">
        <v>151255</v>
      </c>
      <c r="B123" s="3" t="s">
        <v>168</v>
      </c>
      <c r="C123" s="1" t="s">
        <v>15</v>
      </c>
      <c r="D123" s="1" t="s">
        <v>29</v>
      </c>
      <c r="E123" s="2">
        <v>128330</v>
      </c>
      <c r="F123" s="1" t="s">
        <v>5</v>
      </c>
      <c r="G123" s="11">
        <f t="shared" si="9"/>
        <v>83414.5</v>
      </c>
      <c r="H123" s="11">
        <f t="shared" si="10"/>
        <v>15848.755000000001</v>
      </c>
      <c r="I123" s="13">
        <f t="shared" si="11"/>
        <v>99263.255000000005</v>
      </c>
      <c r="J123" s="11">
        <f t="shared" si="16"/>
        <v>110292.50555555556</v>
      </c>
      <c r="K123" s="12">
        <f t="shared" si="12"/>
        <v>112799.15340909091</v>
      </c>
      <c r="L123" s="12">
        <f t="shared" si="13"/>
        <v>116780.3</v>
      </c>
      <c r="M123" s="12">
        <f t="shared" si="14"/>
        <v>124079.06875000001</v>
      </c>
      <c r="N123" s="12">
        <f t="shared" si="15"/>
        <v>132351.00666666668</v>
      </c>
    </row>
    <row r="124" spans="1:14" ht="22.5" hidden="1" customHeight="1">
      <c r="A124" s="1" t="s">
        <v>169</v>
      </c>
      <c r="B124" s="3" t="s">
        <v>170</v>
      </c>
      <c r="C124" s="1" t="s">
        <v>18</v>
      </c>
      <c r="D124" s="1" t="s">
        <v>171</v>
      </c>
      <c r="E124" s="2">
        <v>317952</v>
      </c>
      <c r="F124" s="1">
        <v>2</v>
      </c>
      <c r="G124" s="11">
        <f t="shared" si="9"/>
        <v>206668.79999999999</v>
      </c>
      <c r="H124" s="11">
        <f t="shared" si="10"/>
        <v>39267.072</v>
      </c>
      <c r="I124" s="13">
        <f t="shared" si="11"/>
        <v>245935.87199999997</v>
      </c>
      <c r="J124" s="11">
        <f t="shared" si="16"/>
        <v>273262.07999999996</v>
      </c>
      <c r="K124" s="12">
        <f t="shared" si="12"/>
        <v>279472.58181818179</v>
      </c>
      <c r="L124" s="12">
        <f t="shared" si="13"/>
        <v>289336.31999999995</v>
      </c>
      <c r="M124" s="12">
        <f t="shared" si="14"/>
        <v>307419.83999999997</v>
      </c>
      <c r="N124" s="12">
        <f t="shared" si="15"/>
        <v>327914.49599999998</v>
      </c>
    </row>
    <row r="125" spans="1:14" ht="22.5" hidden="1" customHeight="1">
      <c r="A125" s="1" t="s">
        <v>172</v>
      </c>
      <c r="B125" s="3" t="s">
        <v>173</v>
      </c>
      <c r="C125" s="1" t="s">
        <v>15</v>
      </c>
      <c r="D125" s="1" t="s">
        <v>84</v>
      </c>
      <c r="E125" s="2">
        <v>270256</v>
      </c>
      <c r="F125" s="1">
        <v>1</v>
      </c>
      <c r="G125" s="11">
        <f t="shared" si="9"/>
        <v>175666.40000000002</v>
      </c>
      <c r="H125" s="11">
        <f t="shared" si="10"/>
        <v>33376.616000000002</v>
      </c>
      <c r="I125" s="13">
        <f t="shared" si="11"/>
        <v>209043.01600000003</v>
      </c>
      <c r="J125" s="11">
        <f t="shared" si="16"/>
        <v>232270.0177777778</v>
      </c>
      <c r="K125" s="12">
        <f t="shared" si="12"/>
        <v>237548.88181818186</v>
      </c>
      <c r="L125" s="12">
        <f t="shared" si="13"/>
        <v>245932.96000000005</v>
      </c>
      <c r="M125" s="12">
        <f t="shared" si="14"/>
        <v>261303.77000000002</v>
      </c>
      <c r="N125" s="12">
        <f t="shared" si="15"/>
        <v>278724.0213333334</v>
      </c>
    </row>
    <row r="126" spans="1:14" ht="22.5" hidden="1" customHeight="1">
      <c r="A126" s="1" t="s">
        <v>174</v>
      </c>
      <c r="B126" s="3" t="s">
        <v>175</v>
      </c>
      <c r="C126" s="1" t="s">
        <v>176</v>
      </c>
      <c r="D126" s="1" t="s">
        <v>69</v>
      </c>
      <c r="E126" s="2">
        <v>372603</v>
      </c>
      <c r="F126" s="1">
        <v>4</v>
      </c>
      <c r="G126" s="11">
        <f t="shared" si="9"/>
        <v>242191.95</v>
      </c>
      <c r="H126" s="11">
        <f t="shared" si="10"/>
        <v>46016.470500000003</v>
      </c>
      <c r="I126" s="13">
        <f t="shared" si="11"/>
        <v>288208.42050000001</v>
      </c>
      <c r="J126" s="11">
        <f t="shared" si="16"/>
        <v>320231.57833333331</v>
      </c>
      <c r="K126" s="12">
        <f t="shared" si="12"/>
        <v>327509.56875000003</v>
      </c>
      <c r="L126" s="12">
        <f t="shared" si="13"/>
        <v>339068.73000000004</v>
      </c>
      <c r="M126" s="12">
        <f t="shared" si="14"/>
        <v>360260.52562500001</v>
      </c>
      <c r="N126" s="12">
        <f t="shared" si="15"/>
        <v>384277.89400000003</v>
      </c>
    </row>
    <row r="127" spans="1:14" ht="22.5" hidden="1" customHeight="1">
      <c r="A127" s="1">
        <v>111776</v>
      </c>
      <c r="B127" s="3" t="s">
        <v>177</v>
      </c>
      <c r="C127" s="1" t="s">
        <v>15</v>
      </c>
      <c r="D127" s="1" t="s">
        <v>16</v>
      </c>
      <c r="E127" s="2">
        <v>139926</v>
      </c>
      <c r="F127" s="1" t="s">
        <v>5</v>
      </c>
      <c r="G127" s="11">
        <f t="shared" si="9"/>
        <v>90951.9</v>
      </c>
      <c r="H127" s="11">
        <f t="shared" si="10"/>
        <v>17280.861000000001</v>
      </c>
      <c r="I127" s="13">
        <f t="shared" si="11"/>
        <v>108232.761</v>
      </c>
      <c r="J127" s="11">
        <f t="shared" si="16"/>
        <v>120258.62333333332</v>
      </c>
      <c r="K127" s="12">
        <f t="shared" si="12"/>
        <v>122991.77386363636</v>
      </c>
      <c r="L127" s="12">
        <f t="shared" si="13"/>
        <v>127332.66</v>
      </c>
      <c r="M127" s="12">
        <f t="shared" si="14"/>
        <v>135290.95124999998</v>
      </c>
      <c r="N127" s="12">
        <f t="shared" si="15"/>
        <v>144310.348</v>
      </c>
    </row>
    <row r="128" spans="1:14" ht="22.5" hidden="1" customHeight="1">
      <c r="A128" s="1">
        <v>112260</v>
      </c>
      <c r="B128" s="3" t="s">
        <v>178</v>
      </c>
      <c r="C128" s="1" t="s">
        <v>15</v>
      </c>
      <c r="D128" s="1" t="s">
        <v>29</v>
      </c>
      <c r="E128" s="2">
        <v>159937</v>
      </c>
      <c r="F128" s="1">
        <v>20</v>
      </c>
      <c r="G128" s="11">
        <f t="shared" si="9"/>
        <v>103959.05</v>
      </c>
      <c r="H128" s="11">
        <f t="shared" si="10"/>
        <v>19752.219499999999</v>
      </c>
      <c r="I128" s="13">
        <f t="shared" si="11"/>
        <v>123711.26949999999</v>
      </c>
      <c r="J128" s="11">
        <f t="shared" si="16"/>
        <v>137456.96611111111</v>
      </c>
      <c r="K128" s="12">
        <f t="shared" si="12"/>
        <v>140580.98806818182</v>
      </c>
      <c r="L128" s="12">
        <f t="shared" si="13"/>
        <v>145542.66999999998</v>
      </c>
      <c r="M128" s="12">
        <f t="shared" si="14"/>
        <v>154639.08687499998</v>
      </c>
      <c r="N128" s="12">
        <f t="shared" si="15"/>
        <v>164948.35933333333</v>
      </c>
    </row>
    <row r="129" spans="1:14" ht="22.5" hidden="1" customHeight="1">
      <c r="A129" s="1">
        <v>112265</v>
      </c>
      <c r="B129" s="3" t="s">
        <v>179</v>
      </c>
      <c r="C129" s="1" t="s">
        <v>15</v>
      </c>
      <c r="D129" s="1" t="s">
        <v>19</v>
      </c>
      <c r="E129" s="2">
        <v>146160</v>
      </c>
      <c r="F129" s="1">
        <v>1</v>
      </c>
      <c r="G129" s="11">
        <f t="shared" si="9"/>
        <v>95004</v>
      </c>
      <c r="H129" s="11">
        <f t="shared" si="10"/>
        <v>18050.759999999998</v>
      </c>
      <c r="I129" s="13">
        <f t="shared" si="11"/>
        <v>113054.76</v>
      </c>
      <c r="J129" s="11">
        <f t="shared" si="16"/>
        <v>125616.4</v>
      </c>
      <c r="K129" s="12">
        <f t="shared" si="12"/>
        <v>128471.31818181818</v>
      </c>
      <c r="L129" s="12">
        <f t="shared" si="13"/>
        <v>133005.6</v>
      </c>
      <c r="M129" s="12">
        <f t="shared" si="14"/>
        <v>141318.44999999998</v>
      </c>
      <c r="N129" s="12">
        <f t="shared" si="15"/>
        <v>150739.68</v>
      </c>
    </row>
    <row r="130" spans="1:14" ht="22.5" hidden="1" customHeight="1">
      <c r="A130" s="1">
        <v>151023</v>
      </c>
      <c r="B130" s="3" t="s">
        <v>180</v>
      </c>
      <c r="C130" s="1" t="s">
        <v>22</v>
      </c>
      <c r="D130" s="1" t="s">
        <v>19</v>
      </c>
      <c r="E130" s="2">
        <v>149532</v>
      </c>
      <c r="F130" s="1" t="s">
        <v>5</v>
      </c>
      <c r="G130" s="11">
        <f t="shared" si="9"/>
        <v>97195.8</v>
      </c>
      <c r="H130" s="11">
        <f t="shared" si="10"/>
        <v>18467.202000000001</v>
      </c>
      <c r="I130" s="13">
        <f t="shared" si="11"/>
        <v>115663.00200000001</v>
      </c>
      <c r="J130" s="11">
        <f t="shared" si="16"/>
        <v>128514.44666666667</v>
      </c>
      <c r="K130" s="12">
        <f t="shared" si="12"/>
        <v>131435.22954545455</v>
      </c>
      <c r="L130" s="12">
        <f t="shared" si="13"/>
        <v>136074.12000000002</v>
      </c>
      <c r="M130" s="12">
        <f t="shared" si="14"/>
        <v>144578.7525</v>
      </c>
      <c r="N130" s="12">
        <f t="shared" si="15"/>
        <v>154217.33600000001</v>
      </c>
    </row>
    <row r="131" spans="1:14" ht="22.5" hidden="1" customHeight="1">
      <c r="A131" s="1">
        <v>151010</v>
      </c>
      <c r="B131" s="3" t="s">
        <v>181</v>
      </c>
      <c r="C131" s="1" t="s">
        <v>15</v>
      </c>
      <c r="D131" s="1" t="s">
        <v>19</v>
      </c>
      <c r="E131" s="2">
        <v>135746</v>
      </c>
      <c r="F131" s="1" t="s">
        <v>5</v>
      </c>
      <c r="G131" s="11">
        <f t="shared" ref="G131:G194" si="17">E131-(E131*35%)</f>
        <v>88234.9</v>
      </c>
      <c r="H131" s="11">
        <f t="shared" ref="H131:H194" si="18">G131*19%</f>
        <v>16764.630999999998</v>
      </c>
      <c r="I131" s="13">
        <f t="shared" ref="I131:I194" si="19">G131+H131</f>
        <v>104999.53099999999</v>
      </c>
      <c r="J131" s="11">
        <f t="shared" si="16"/>
        <v>116666.14555555554</v>
      </c>
      <c r="K131" s="12">
        <f t="shared" ref="K131:K194" si="20">I131/(1-12%)</f>
        <v>119317.64886363635</v>
      </c>
      <c r="L131" s="12">
        <f t="shared" ref="L131:L194" si="21">I131/(1-15%)</f>
        <v>123528.85999999999</v>
      </c>
      <c r="M131" s="12">
        <f t="shared" ref="M131:M194" si="22">I131/(1-20%)</f>
        <v>131249.41374999998</v>
      </c>
      <c r="N131" s="12">
        <f t="shared" ref="N131:N194" si="23">I131/(1-25%)</f>
        <v>139999.37466666664</v>
      </c>
    </row>
    <row r="132" spans="1:14" ht="22.5" hidden="1" customHeight="1">
      <c r="A132" s="1">
        <v>150497</v>
      </c>
      <c r="B132" s="3" t="s">
        <v>182</v>
      </c>
      <c r="C132" s="1" t="s">
        <v>39</v>
      </c>
      <c r="D132" s="1" t="s">
        <v>165</v>
      </c>
      <c r="E132" s="2">
        <v>151305</v>
      </c>
      <c r="F132" s="1">
        <v>79</v>
      </c>
      <c r="G132" s="11">
        <f t="shared" si="17"/>
        <v>98348.25</v>
      </c>
      <c r="H132" s="11">
        <f t="shared" si="18"/>
        <v>18686.1675</v>
      </c>
      <c r="I132" s="13">
        <f t="shared" si="19"/>
        <v>117034.4175</v>
      </c>
      <c r="J132" s="11">
        <f t="shared" si="16"/>
        <v>130038.24166666665</v>
      </c>
      <c r="K132" s="12">
        <f t="shared" si="20"/>
        <v>132993.65625</v>
      </c>
      <c r="L132" s="12">
        <f t="shared" si="21"/>
        <v>137687.54999999999</v>
      </c>
      <c r="M132" s="12">
        <f t="shared" si="22"/>
        <v>146293.02187499998</v>
      </c>
      <c r="N132" s="12">
        <f t="shared" si="23"/>
        <v>156045.88999999998</v>
      </c>
    </row>
    <row r="133" spans="1:14" ht="22.5" hidden="1" customHeight="1">
      <c r="A133" s="1">
        <v>112286</v>
      </c>
      <c r="B133" s="3" t="s">
        <v>183</v>
      </c>
      <c r="C133" s="1" t="s">
        <v>15</v>
      </c>
      <c r="D133" s="1" t="s">
        <v>29</v>
      </c>
      <c r="E133" s="2">
        <v>168270</v>
      </c>
      <c r="F133" s="1">
        <v>2</v>
      </c>
      <c r="G133" s="11">
        <f t="shared" si="17"/>
        <v>109375.5</v>
      </c>
      <c r="H133" s="11">
        <f t="shared" si="18"/>
        <v>20781.345000000001</v>
      </c>
      <c r="I133" s="13">
        <f t="shared" si="19"/>
        <v>130156.845</v>
      </c>
      <c r="J133" s="11">
        <f t="shared" si="16"/>
        <v>144618.71666666667</v>
      </c>
      <c r="K133" s="12">
        <f t="shared" si="20"/>
        <v>147905.50568181818</v>
      </c>
      <c r="L133" s="12">
        <f t="shared" si="21"/>
        <v>153125.70000000001</v>
      </c>
      <c r="M133" s="12">
        <f t="shared" si="22"/>
        <v>162696.05624999999</v>
      </c>
      <c r="N133" s="12">
        <f t="shared" si="23"/>
        <v>173542.46</v>
      </c>
    </row>
    <row r="134" spans="1:14" ht="22.5" hidden="1" customHeight="1">
      <c r="A134" s="1">
        <v>108802</v>
      </c>
      <c r="B134" s="3" t="s">
        <v>184</v>
      </c>
      <c r="C134" s="1" t="s">
        <v>22</v>
      </c>
      <c r="D134" s="1" t="s">
        <v>29</v>
      </c>
      <c r="E134" s="2">
        <v>186125</v>
      </c>
      <c r="F134" s="1" t="s">
        <v>5</v>
      </c>
      <c r="G134" s="11">
        <f t="shared" si="17"/>
        <v>120981.25</v>
      </c>
      <c r="H134" s="11">
        <f t="shared" si="18"/>
        <v>22986.4375</v>
      </c>
      <c r="I134" s="13">
        <f t="shared" si="19"/>
        <v>143967.6875</v>
      </c>
      <c r="J134" s="11">
        <f t="shared" si="16"/>
        <v>159964.09722222222</v>
      </c>
      <c r="K134" s="12">
        <f t="shared" si="20"/>
        <v>163599.64488636365</v>
      </c>
      <c r="L134" s="12">
        <f t="shared" si="21"/>
        <v>169373.75</v>
      </c>
      <c r="M134" s="12">
        <f t="shared" si="22"/>
        <v>179959.609375</v>
      </c>
      <c r="N134" s="12">
        <f t="shared" si="23"/>
        <v>191956.91666666666</v>
      </c>
    </row>
    <row r="135" spans="1:14" ht="22.5" hidden="1" customHeight="1">
      <c r="A135" s="1">
        <v>111416</v>
      </c>
      <c r="B135" s="3" t="s">
        <v>185</v>
      </c>
      <c r="C135" s="1" t="s">
        <v>22</v>
      </c>
      <c r="D135" s="1" t="s">
        <v>19</v>
      </c>
      <c r="E135" s="2">
        <v>157244</v>
      </c>
      <c r="F135" s="1">
        <v>1</v>
      </c>
      <c r="G135" s="11">
        <f t="shared" si="17"/>
        <v>102208.6</v>
      </c>
      <c r="H135" s="11">
        <f t="shared" si="18"/>
        <v>19419.634000000002</v>
      </c>
      <c r="I135" s="13">
        <f t="shared" si="19"/>
        <v>121628.23400000001</v>
      </c>
      <c r="J135" s="11">
        <f t="shared" si="16"/>
        <v>135142.48222222223</v>
      </c>
      <c r="K135" s="12">
        <f t="shared" si="20"/>
        <v>138213.90227272728</v>
      </c>
      <c r="L135" s="12">
        <f t="shared" si="21"/>
        <v>143092.04</v>
      </c>
      <c r="M135" s="12">
        <f t="shared" si="22"/>
        <v>152035.29250000001</v>
      </c>
      <c r="N135" s="12">
        <f t="shared" si="23"/>
        <v>162170.97866666669</v>
      </c>
    </row>
    <row r="136" spans="1:14" ht="22.5" hidden="1" customHeight="1">
      <c r="A136" s="1">
        <v>109914</v>
      </c>
      <c r="B136" s="3" t="s">
        <v>186</v>
      </c>
      <c r="C136" s="1" t="s">
        <v>22</v>
      </c>
      <c r="D136" s="1" t="s">
        <v>23</v>
      </c>
      <c r="E136" s="2">
        <v>175813</v>
      </c>
      <c r="F136" s="1">
        <v>44</v>
      </c>
      <c r="G136" s="11">
        <f t="shared" si="17"/>
        <v>114278.45000000001</v>
      </c>
      <c r="H136" s="11">
        <f t="shared" si="18"/>
        <v>21712.905500000001</v>
      </c>
      <c r="I136" s="13">
        <f t="shared" si="19"/>
        <v>135991.35550000001</v>
      </c>
      <c r="J136" s="11">
        <f t="shared" si="16"/>
        <v>151101.50611111111</v>
      </c>
      <c r="K136" s="12">
        <f t="shared" si="20"/>
        <v>154535.63125000001</v>
      </c>
      <c r="L136" s="12">
        <f t="shared" si="21"/>
        <v>159989.83000000002</v>
      </c>
      <c r="M136" s="12">
        <f t="shared" si="22"/>
        <v>169989.19437499999</v>
      </c>
      <c r="N136" s="12">
        <f t="shared" si="23"/>
        <v>181321.80733333333</v>
      </c>
    </row>
    <row r="137" spans="1:14" ht="22.5" hidden="1" customHeight="1">
      <c r="A137" s="1">
        <v>108916</v>
      </c>
      <c r="B137" s="3" t="s">
        <v>187</v>
      </c>
      <c r="C137" s="1" t="s">
        <v>18</v>
      </c>
      <c r="D137" s="1" t="s">
        <v>23</v>
      </c>
      <c r="E137" s="2">
        <v>158486</v>
      </c>
      <c r="F137" s="1">
        <v>1</v>
      </c>
      <c r="G137" s="11">
        <f t="shared" si="17"/>
        <v>103015.9</v>
      </c>
      <c r="H137" s="11">
        <f t="shared" si="18"/>
        <v>19573.021000000001</v>
      </c>
      <c r="I137" s="13">
        <f t="shared" si="19"/>
        <v>122588.921</v>
      </c>
      <c r="J137" s="11">
        <f t="shared" si="16"/>
        <v>136209.91222222222</v>
      </c>
      <c r="K137" s="12">
        <f t="shared" si="20"/>
        <v>139305.59204545454</v>
      </c>
      <c r="L137" s="12">
        <f t="shared" si="21"/>
        <v>144222.26</v>
      </c>
      <c r="M137" s="12">
        <f t="shared" si="22"/>
        <v>153236.15125</v>
      </c>
      <c r="N137" s="12">
        <f t="shared" si="23"/>
        <v>163451.89466666666</v>
      </c>
    </row>
    <row r="138" spans="1:14" ht="22.5" hidden="1" customHeight="1">
      <c r="A138" s="1">
        <v>150240</v>
      </c>
      <c r="B138" s="3" t="s">
        <v>188</v>
      </c>
      <c r="C138" s="1" t="s">
        <v>15</v>
      </c>
      <c r="D138" s="1" t="s">
        <v>29</v>
      </c>
      <c r="E138" s="2">
        <v>156863</v>
      </c>
      <c r="F138" s="1" t="s">
        <v>5</v>
      </c>
      <c r="G138" s="11">
        <f t="shared" si="17"/>
        <v>101960.95000000001</v>
      </c>
      <c r="H138" s="11">
        <f t="shared" si="18"/>
        <v>19372.580500000004</v>
      </c>
      <c r="I138" s="13">
        <f t="shared" si="19"/>
        <v>121333.53050000002</v>
      </c>
      <c r="J138" s="11">
        <f t="shared" si="16"/>
        <v>134815.03388888892</v>
      </c>
      <c r="K138" s="12">
        <f t="shared" si="20"/>
        <v>137879.01193181821</v>
      </c>
      <c r="L138" s="12">
        <f t="shared" si="21"/>
        <v>142745.33000000002</v>
      </c>
      <c r="M138" s="12">
        <f t="shared" si="22"/>
        <v>151666.91312500002</v>
      </c>
      <c r="N138" s="12">
        <f t="shared" si="23"/>
        <v>161778.0406666667</v>
      </c>
    </row>
    <row r="139" spans="1:14" ht="22.5" hidden="1" customHeight="1">
      <c r="A139" s="1">
        <v>150176</v>
      </c>
      <c r="B139" s="3" t="s">
        <v>189</v>
      </c>
      <c r="C139" s="1" t="s">
        <v>22</v>
      </c>
      <c r="D139" s="1" t="s">
        <v>29</v>
      </c>
      <c r="E139" s="2">
        <v>168295</v>
      </c>
      <c r="F139" s="1" t="s">
        <v>5</v>
      </c>
      <c r="G139" s="11">
        <f t="shared" si="17"/>
        <v>109391.75</v>
      </c>
      <c r="H139" s="11">
        <f t="shared" si="18"/>
        <v>20784.432499999999</v>
      </c>
      <c r="I139" s="13">
        <f t="shared" si="19"/>
        <v>130176.1825</v>
      </c>
      <c r="J139" s="11">
        <f t="shared" si="16"/>
        <v>144640.20277777777</v>
      </c>
      <c r="K139" s="12">
        <f t="shared" si="20"/>
        <v>147927.48011363635</v>
      </c>
      <c r="L139" s="12">
        <f t="shared" si="21"/>
        <v>153148.45000000001</v>
      </c>
      <c r="M139" s="12">
        <f t="shared" si="22"/>
        <v>162720.22812499999</v>
      </c>
      <c r="N139" s="12">
        <f t="shared" si="23"/>
        <v>173568.24333333332</v>
      </c>
    </row>
    <row r="140" spans="1:14" ht="22.5" hidden="1" customHeight="1">
      <c r="A140" s="1" t="s">
        <v>190</v>
      </c>
      <c r="B140" s="3" t="s">
        <v>191</v>
      </c>
      <c r="C140" s="1" t="s">
        <v>15</v>
      </c>
      <c r="D140" s="1" t="s">
        <v>84</v>
      </c>
      <c r="E140" s="2">
        <v>266429</v>
      </c>
      <c r="F140" s="1">
        <v>8</v>
      </c>
      <c r="G140" s="11">
        <f t="shared" si="17"/>
        <v>173178.85</v>
      </c>
      <c r="H140" s="11">
        <f t="shared" si="18"/>
        <v>32903.981500000002</v>
      </c>
      <c r="I140" s="13">
        <f t="shared" si="19"/>
        <v>206082.8315</v>
      </c>
      <c r="J140" s="11">
        <f t="shared" si="16"/>
        <v>228980.92388888888</v>
      </c>
      <c r="K140" s="12">
        <f t="shared" si="20"/>
        <v>234185.03579545455</v>
      </c>
      <c r="L140" s="12">
        <f t="shared" si="21"/>
        <v>242450.39</v>
      </c>
      <c r="M140" s="12">
        <f t="shared" si="22"/>
        <v>257603.53937499999</v>
      </c>
      <c r="N140" s="12">
        <f t="shared" si="23"/>
        <v>274777.10866666667</v>
      </c>
    </row>
    <row r="141" spans="1:14" ht="22.5" hidden="1" customHeight="1">
      <c r="A141" s="1">
        <v>111327</v>
      </c>
      <c r="B141" s="3" t="s">
        <v>192</v>
      </c>
      <c r="C141" s="1" t="s">
        <v>15</v>
      </c>
      <c r="D141" s="1" t="s">
        <v>165</v>
      </c>
      <c r="E141" s="2">
        <v>166706</v>
      </c>
      <c r="F141" s="1">
        <v>1</v>
      </c>
      <c r="G141" s="11">
        <f t="shared" si="17"/>
        <v>108358.9</v>
      </c>
      <c r="H141" s="11">
        <f t="shared" si="18"/>
        <v>20588.190999999999</v>
      </c>
      <c r="I141" s="13">
        <f t="shared" si="19"/>
        <v>128947.09099999999</v>
      </c>
      <c r="J141" s="11">
        <f t="shared" si="16"/>
        <v>143274.54555555552</v>
      </c>
      <c r="K141" s="12">
        <f t="shared" si="20"/>
        <v>146530.78522727272</v>
      </c>
      <c r="L141" s="12">
        <f t="shared" si="21"/>
        <v>151702.46</v>
      </c>
      <c r="M141" s="12">
        <f t="shared" si="22"/>
        <v>161183.86374999996</v>
      </c>
      <c r="N141" s="12">
        <f t="shared" si="23"/>
        <v>171929.45466666666</v>
      </c>
    </row>
    <row r="142" spans="1:14" ht="22.5" hidden="1" customHeight="1">
      <c r="A142" s="1" t="s">
        <v>193</v>
      </c>
      <c r="B142" s="3" t="s">
        <v>194</v>
      </c>
      <c r="C142" s="1" t="s">
        <v>15</v>
      </c>
      <c r="D142" s="1" t="s">
        <v>84</v>
      </c>
      <c r="E142" s="2">
        <v>514826</v>
      </c>
      <c r="F142" s="1">
        <v>2</v>
      </c>
      <c r="G142" s="11">
        <f t="shared" si="17"/>
        <v>334636.90000000002</v>
      </c>
      <c r="H142" s="11">
        <f t="shared" si="18"/>
        <v>63581.011000000006</v>
      </c>
      <c r="I142" s="13">
        <f t="shared" si="19"/>
        <v>398217.91100000002</v>
      </c>
      <c r="J142" s="11">
        <f t="shared" ref="J142:J205" si="24">I142/(1-10%)</f>
        <v>442464.34555555554</v>
      </c>
      <c r="K142" s="12">
        <f t="shared" si="20"/>
        <v>452520.35340909095</v>
      </c>
      <c r="L142" s="12">
        <f t="shared" si="21"/>
        <v>468491.66000000003</v>
      </c>
      <c r="M142" s="12">
        <f t="shared" si="22"/>
        <v>497772.38874999998</v>
      </c>
      <c r="N142" s="12">
        <f t="shared" si="23"/>
        <v>530957.2146666667</v>
      </c>
    </row>
    <row r="143" spans="1:14" ht="22.5" hidden="1" customHeight="1">
      <c r="A143" s="1">
        <v>109097</v>
      </c>
      <c r="B143" s="3" t="s">
        <v>195</v>
      </c>
      <c r="C143" s="1" t="s">
        <v>15</v>
      </c>
      <c r="D143" s="1" t="s">
        <v>23</v>
      </c>
      <c r="E143" s="2">
        <v>216480</v>
      </c>
      <c r="F143" s="1">
        <v>4</v>
      </c>
      <c r="G143" s="11">
        <f t="shared" si="17"/>
        <v>140712</v>
      </c>
      <c r="H143" s="11">
        <f t="shared" si="18"/>
        <v>26735.279999999999</v>
      </c>
      <c r="I143" s="13">
        <f t="shared" si="19"/>
        <v>167447.28</v>
      </c>
      <c r="J143" s="11">
        <f t="shared" si="24"/>
        <v>186052.53333333333</v>
      </c>
      <c r="K143" s="12">
        <f t="shared" si="20"/>
        <v>190281</v>
      </c>
      <c r="L143" s="12">
        <f t="shared" si="21"/>
        <v>196996.80000000002</v>
      </c>
      <c r="M143" s="12">
        <f t="shared" si="22"/>
        <v>209309.09999999998</v>
      </c>
      <c r="N143" s="12">
        <f t="shared" si="23"/>
        <v>223263.04</v>
      </c>
    </row>
    <row r="144" spans="1:14" ht="22.5" hidden="1" customHeight="1">
      <c r="A144" s="1">
        <v>150055</v>
      </c>
      <c r="B144" s="3" t="s">
        <v>196</v>
      </c>
      <c r="C144" s="1" t="s">
        <v>15</v>
      </c>
      <c r="D144" s="1" t="s">
        <v>79</v>
      </c>
      <c r="E144" s="2">
        <v>227024</v>
      </c>
      <c r="F144" s="1">
        <v>82</v>
      </c>
      <c r="G144" s="11">
        <f t="shared" si="17"/>
        <v>147565.6</v>
      </c>
      <c r="H144" s="11">
        <f t="shared" si="18"/>
        <v>28037.464</v>
      </c>
      <c r="I144" s="13">
        <f t="shared" si="19"/>
        <v>175603.06400000001</v>
      </c>
      <c r="J144" s="11">
        <f t="shared" si="24"/>
        <v>195114.51555555555</v>
      </c>
      <c r="K144" s="12">
        <f t="shared" si="20"/>
        <v>199548.93636363637</v>
      </c>
      <c r="L144" s="12">
        <f t="shared" si="21"/>
        <v>206591.84000000003</v>
      </c>
      <c r="M144" s="12">
        <f t="shared" si="22"/>
        <v>219503.83000000002</v>
      </c>
      <c r="N144" s="12">
        <f t="shared" si="23"/>
        <v>234137.41866666669</v>
      </c>
    </row>
    <row r="145" spans="1:14" ht="22.5" hidden="1" customHeight="1">
      <c r="A145" s="1">
        <v>109417</v>
      </c>
      <c r="B145" s="3" t="s">
        <v>197</v>
      </c>
      <c r="C145" s="1" t="s">
        <v>15</v>
      </c>
      <c r="D145" s="1" t="s">
        <v>29</v>
      </c>
      <c r="E145" s="2">
        <v>206463</v>
      </c>
      <c r="F145" s="1">
        <v>94</v>
      </c>
      <c r="G145" s="11">
        <f t="shared" si="17"/>
        <v>134200.95000000001</v>
      </c>
      <c r="H145" s="11">
        <f t="shared" si="18"/>
        <v>25498.180500000002</v>
      </c>
      <c r="I145" s="13">
        <f t="shared" si="19"/>
        <v>159699.13050000003</v>
      </c>
      <c r="J145" s="11">
        <f t="shared" si="24"/>
        <v>177443.47833333336</v>
      </c>
      <c r="K145" s="12">
        <f t="shared" si="20"/>
        <v>181476.28465909095</v>
      </c>
      <c r="L145" s="12">
        <f t="shared" si="21"/>
        <v>187881.33000000005</v>
      </c>
      <c r="M145" s="12">
        <f t="shared" si="22"/>
        <v>199623.91312500002</v>
      </c>
      <c r="N145" s="12">
        <f t="shared" si="23"/>
        <v>212932.17400000003</v>
      </c>
    </row>
    <row r="146" spans="1:14" ht="22.5" hidden="1" customHeight="1">
      <c r="A146" s="1">
        <v>109718</v>
      </c>
      <c r="B146" s="3" t="s">
        <v>198</v>
      </c>
      <c r="C146" s="1" t="s">
        <v>15</v>
      </c>
      <c r="D146" s="1" t="s">
        <v>29</v>
      </c>
      <c r="E146" s="2">
        <v>193659</v>
      </c>
      <c r="F146" s="1">
        <v>61</v>
      </c>
      <c r="G146" s="11">
        <f t="shared" si="17"/>
        <v>125878.35</v>
      </c>
      <c r="H146" s="11">
        <f t="shared" si="18"/>
        <v>23916.886500000001</v>
      </c>
      <c r="I146" s="13">
        <f t="shared" si="19"/>
        <v>149795.2365</v>
      </c>
      <c r="J146" s="11">
        <f t="shared" si="24"/>
        <v>166439.15166666667</v>
      </c>
      <c r="K146" s="12">
        <f t="shared" si="20"/>
        <v>170221.8596590909</v>
      </c>
      <c r="L146" s="12">
        <f t="shared" si="21"/>
        <v>176229.69</v>
      </c>
      <c r="M146" s="12">
        <f t="shared" si="22"/>
        <v>187244.045625</v>
      </c>
      <c r="N146" s="12">
        <f t="shared" si="23"/>
        <v>199726.98199999999</v>
      </c>
    </row>
    <row r="147" spans="1:14" ht="22.5" hidden="1" customHeight="1">
      <c r="A147" s="1" t="s">
        <v>199</v>
      </c>
      <c r="B147" s="3" t="s">
        <v>200</v>
      </c>
      <c r="C147" s="1" t="e">
        <v>#N/A</v>
      </c>
      <c r="D147" s="1" t="s">
        <v>86</v>
      </c>
      <c r="E147" s="2">
        <v>535681</v>
      </c>
      <c r="F147" s="1">
        <v>2</v>
      </c>
      <c r="G147" s="11">
        <f t="shared" si="17"/>
        <v>348192.65</v>
      </c>
      <c r="H147" s="11">
        <f t="shared" si="18"/>
        <v>66156.603500000012</v>
      </c>
      <c r="I147" s="13">
        <f t="shared" si="19"/>
        <v>414349.25350000005</v>
      </c>
      <c r="J147" s="11">
        <f t="shared" si="24"/>
        <v>460388.05944444449</v>
      </c>
      <c r="K147" s="12">
        <f t="shared" si="20"/>
        <v>470851.42443181825</v>
      </c>
      <c r="L147" s="12">
        <f t="shared" si="21"/>
        <v>487469.71000000008</v>
      </c>
      <c r="M147" s="12">
        <f t="shared" si="22"/>
        <v>517936.56687500002</v>
      </c>
      <c r="N147" s="12">
        <f t="shared" si="23"/>
        <v>552465.67133333336</v>
      </c>
    </row>
    <row r="148" spans="1:14" ht="22.5" hidden="1" customHeight="1">
      <c r="A148" s="1">
        <v>150168</v>
      </c>
      <c r="B148" s="3" t="s">
        <v>201</v>
      </c>
      <c r="C148" s="1" t="s">
        <v>15</v>
      </c>
      <c r="D148" s="1" t="s">
        <v>19</v>
      </c>
      <c r="E148" s="2">
        <v>225319</v>
      </c>
      <c r="F148" s="1">
        <v>1</v>
      </c>
      <c r="G148" s="11">
        <f t="shared" si="17"/>
        <v>146457.35</v>
      </c>
      <c r="H148" s="11">
        <f t="shared" si="18"/>
        <v>27826.896500000003</v>
      </c>
      <c r="I148" s="13">
        <f t="shared" si="19"/>
        <v>174284.24650000001</v>
      </c>
      <c r="J148" s="11">
        <f t="shared" si="24"/>
        <v>193649.16277777779</v>
      </c>
      <c r="K148" s="12">
        <f t="shared" si="20"/>
        <v>198050.28011363637</v>
      </c>
      <c r="L148" s="12">
        <f t="shared" si="21"/>
        <v>205040.29</v>
      </c>
      <c r="M148" s="12">
        <f t="shared" si="22"/>
        <v>217855.30812500001</v>
      </c>
      <c r="N148" s="12">
        <f t="shared" si="23"/>
        <v>232378.99533333335</v>
      </c>
    </row>
    <row r="149" spans="1:14" ht="22.5" hidden="1" customHeight="1">
      <c r="A149" s="1">
        <v>108214</v>
      </c>
      <c r="B149" s="3" t="s">
        <v>202</v>
      </c>
      <c r="C149" s="1" t="s">
        <v>15</v>
      </c>
      <c r="D149" s="1" t="s">
        <v>165</v>
      </c>
      <c r="E149" s="2">
        <v>257438</v>
      </c>
      <c r="F149" s="1" t="s">
        <v>5</v>
      </c>
      <c r="G149" s="11">
        <f t="shared" si="17"/>
        <v>167334.70000000001</v>
      </c>
      <c r="H149" s="11">
        <f t="shared" si="18"/>
        <v>31793.593000000004</v>
      </c>
      <c r="I149" s="13">
        <f t="shared" si="19"/>
        <v>199128.29300000001</v>
      </c>
      <c r="J149" s="11">
        <f t="shared" si="24"/>
        <v>221253.65888888889</v>
      </c>
      <c r="K149" s="12">
        <f t="shared" si="20"/>
        <v>226282.15113636365</v>
      </c>
      <c r="L149" s="12">
        <f t="shared" si="21"/>
        <v>234268.58000000002</v>
      </c>
      <c r="M149" s="12">
        <f t="shared" si="22"/>
        <v>248910.36624999999</v>
      </c>
      <c r="N149" s="12">
        <f t="shared" si="23"/>
        <v>265504.39066666667</v>
      </c>
    </row>
    <row r="150" spans="1:14" ht="22.5" hidden="1" customHeight="1">
      <c r="A150" s="1">
        <v>112872</v>
      </c>
      <c r="B150" s="3" t="s">
        <v>203</v>
      </c>
      <c r="C150" s="1" t="s">
        <v>15</v>
      </c>
      <c r="D150" s="1" t="s">
        <v>23</v>
      </c>
      <c r="E150" s="2">
        <v>340663</v>
      </c>
      <c r="F150" s="1">
        <v>50</v>
      </c>
      <c r="G150" s="11">
        <f t="shared" si="17"/>
        <v>221430.95</v>
      </c>
      <c r="H150" s="11">
        <f t="shared" si="18"/>
        <v>42071.880499999999</v>
      </c>
      <c r="I150" s="13">
        <f t="shared" si="19"/>
        <v>263502.83050000004</v>
      </c>
      <c r="J150" s="11">
        <f t="shared" si="24"/>
        <v>292780.92277777783</v>
      </c>
      <c r="K150" s="12">
        <f t="shared" si="20"/>
        <v>299435.03465909098</v>
      </c>
      <c r="L150" s="12">
        <f t="shared" si="21"/>
        <v>310003.33000000007</v>
      </c>
      <c r="M150" s="12">
        <f t="shared" si="22"/>
        <v>329378.53812500002</v>
      </c>
      <c r="N150" s="12">
        <f t="shared" si="23"/>
        <v>351337.10733333341</v>
      </c>
    </row>
    <row r="151" spans="1:14" ht="22.5" hidden="1" customHeight="1">
      <c r="A151" s="1" t="s">
        <v>204</v>
      </c>
      <c r="B151" s="3" t="s">
        <v>205</v>
      </c>
      <c r="C151" s="1" t="s">
        <v>15</v>
      </c>
      <c r="D151" s="1" t="s">
        <v>84</v>
      </c>
      <c r="E151" s="2">
        <v>476172</v>
      </c>
      <c r="F151" s="1">
        <v>1</v>
      </c>
      <c r="G151" s="11">
        <f t="shared" si="17"/>
        <v>309511.80000000005</v>
      </c>
      <c r="H151" s="11">
        <f t="shared" si="18"/>
        <v>58807.242000000013</v>
      </c>
      <c r="I151" s="13">
        <f t="shared" si="19"/>
        <v>368319.04200000007</v>
      </c>
      <c r="J151" s="11">
        <f t="shared" si="24"/>
        <v>409243.38000000006</v>
      </c>
      <c r="K151" s="12">
        <f t="shared" si="20"/>
        <v>418544.36590909096</v>
      </c>
      <c r="L151" s="12">
        <f t="shared" si="21"/>
        <v>433316.52000000008</v>
      </c>
      <c r="M151" s="12">
        <f t="shared" si="22"/>
        <v>460398.80250000005</v>
      </c>
      <c r="N151" s="12">
        <f t="shared" si="23"/>
        <v>491092.0560000001</v>
      </c>
    </row>
    <row r="152" spans="1:14" ht="22.5" hidden="1" customHeight="1">
      <c r="A152" s="1" t="s">
        <v>206</v>
      </c>
      <c r="B152" s="3" t="s">
        <v>207</v>
      </c>
      <c r="C152" s="1" t="s">
        <v>18</v>
      </c>
      <c r="D152" s="1" t="s">
        <v>84</v>
      </c>
      <c r="E152" s="2">
        <v>562740</v>
      </c>
      <c r="F152" s="1">
        <v>2</v>
      </c>
      <c r="G152" s="11">
        <f t="shared" si="17"/>
        <v>365781</v>
      </c>
      <c r="H152" s="11">
        <f t="shared" si="18"/>
        <v>69498.39</v>
      </c>
      <c r="I152" s="13">
        <f t="shared" si="19"/>
        <v>435279.39</v>
      </c>
      <c r="J152" s="11">
        <f t="shared" si="24"/>
        <v>483643.76666666666</v>
      </c>
      <c r="K152" s="12">
        <f t="shared" si="20"/>
        <v>494635.67045454547</v>
      </c>
      <c r="L152" s="12">
        <f t="shared" si="21"/>
        <v>512093.4</v>
      </c>
      <c r="M152" s="12">
        <f t="shared" si="22"/>
        <v>544099.23749999993</v>
      </c>
      <c r="N152" s="12">
        <f t="shared" si="23"/>
        <v>580372.52</v>
      </c>
    </row>
    <row r="153" spans="1:14" ht="22.5" hidden="1" customHeight="1">
      <c r="A153" s="1">
        <v>150982</v>
      </c>
      <c r="B153" s="3" t="s">
        <v>208</v>
      </c>
      <c r="C153" s="1" t="s">
        <v>15</v>
      </c>
      <c r="D153" s="1" t="s">
        <v>46</v>
      </c>
      <c r="E153" s="2">
        <v>222796</v>
      </c>
      <c r="F153" s="1">
        <v>68</v>
      </c>
      <c r="G153" s="11">
        <f t="shared" si="17"/>
        <v>144817.40000000002</v>
      </c>
      <c r="H153" s="11">
        <f t="shared" si="18"/>
        <v>27515.306000000004</v>
      </c>
      <c r="I153" s="13">
        <f t="shared" si="19"/>
        <v>172332.70600000003</v>
      </c>
      <c r="J153" s="11">
        <f t="shared" si="24"/>
        <v>191480.78444444449</v>
      </c>
      <c r="K153" s="12">
        <f t="shared" si="20"/>
        <v>195832.62045454548</v>
      </c>
      <c r="L153" s="12">
        <f t="shared" si="21"/>
        <v>202744.36000000004</v>
      </c>
      <c r="M153" s="12">
        <f t="shared" si="22"/>
        <v>215415.88250000004</v>
      </c>
      <c r="N153" s="12">
        <f t="shared" si="23"/>
        <v>229776.94133333338</v>
      </c>
    </row>
    <row r="154" spans="1:14" ht="22.5" hidden="1" customHeight="1">
      <c r="A154" s="1" t="s">
        <v>209</v>
      </c>
      <c r="B154" s="3" t="s">
        <v>210</v>
      </c>
      <c r="C154" s="1" t="s">
        <v>22</v>
      </c>
      <c r="D154" s="1" t="s">
        <v>86</v>
      </c>
      <c r="E154" s="2">
        <v>483720</v>
      </c>
      <c r="F154" s="1">
        <v>1</v>
      </c>
      <c r="G154" s="11">
        <f t="shared" si="17"/>
        <v>314418</v>
      </c>
      <c r="H154" s="11">
        <f t="shared" si="18"/>
        <v>59739.42</v>
      </c>
      <c r="I154" s="13">
        <f t="shared" si="19"/>
        <v>374157.42</v>
      </c>
      <c r="J154" s="11">
        <f t="shared" si="24"/>
        <v>415730.46666666662</v>
      </c>
      <c r="K154" s="12">
        <f t="shared" si="20"/>
        <v>425178.88636363635</v>
      </c>
      <c r="L154" s="12">
        <f t="shared" si="21"/>
        <v>440185.2</v>
      </c>
      <c r="M154" s="12">
        <f t="shared" si="22"/>
        <v>467696.77499999997</v>
      </c>
      <c r="N154" s="12">
        <f t="shared" si="23"/>
        <v>498876.56</v>
      </c>
    </row>
    <row r="155" spans="1:14" ht="22.5" hidden="1" customHeight="1">
      <c r="A155" s="1">
        <v>111312</v>
      </c>
      <c r="B155" s="3" t="s">
        <v>211</v>
      </c>
      <c r="C155" s="1" t="s">
        <v>15</v>
      </c>
      <c r="D155" s="1" t="s">
        <v>34</v>
      </c>
      <c r="E155" s="2">
        <v>220960</v>
      </c>
      <c r="F155" s="1" t="s">
        <v>5</v>
      </c>
      <c r="G155" s="11">
        <f t="shared" si="17"/>
        <v>143624</v>
      </c>
      <c r="H155" s="11">
        <f t="shared" si="18"/>
        <v>27288.560000000001</v>
      </c>
      <c r="I155" s="13">
        <f t="shared" si="19"/>
        <v>170912.56</v>
      </c>
      <c r="J155" s="11">
        <f t="shared" si="24"/>
        <v>189902.84444444443</v>
      </c>
      <c r="K155" s="12">
        <f t="shared" si="20"/>
        <v>194218.81818181818</v>
      </c>
      <c r="L155" s="12">
        <f t="shared" si="21"/>
        <v>201073.6</v>
      </c>
      <c r="M155" s="12">
        <f t="shared" si="22"/>
        <v>213640.69999999998</v>
      </c>
      <c r="N155" s="12">
        <f t="shared" si="23"/>
        <v>227883.41333333333</v>
      </c>
    </row>
    <row r="156" spans="1:14" ht="22.5" hidden="1" customHeight="1">
      <c r="A156" s="1">
        <v>109436</v>
      </c>
      <c r="B156" s="3" t="s">
        <v>212</v>
      </c>
      <c r="C156" s="1" t="s">
        <v>15</v>
      </c>
      <c r="D156" s="1" t="s">
        <v>29</v>
      </c>
      <c r="E156" s="2">
        <v>219584</v>
      </c>
      <c r="F156" s="1" t="s">
        <v>5</v>
      </c>
      <c r="G156" s="11">
        <f t="shared" si="17"/>
        <v>142729.60000000001</v>
      </c>
      <c r="H156" s="11">
        <f t="shared" si="18"/>
        <v>27118.624</v>
      </c>
      <c r="I156" s="13">
        <f t="shared" si="19"/>
        <v>169848.22400000002</v>
      </c>
      <c r="J156" s="11">
        <f t="shared" si="24"/>
        <v>188720.24888888889</v>
      </c>
      <c r="K156" s="12">
        <f t="shared" si="20"/>
        <v>193009.34545454546</v>
      </c>
      <c r="L156" s="12">
        <f t="shared" si="21"/>
        <v>199821.44000000003</v>
      </c>
      <c r="M156" s="12">
        <f t="shared" si="22"/>
        <v>212310.28</v>
      </c>
      <c r="N156" s="12">
        <f t="shared" si="23"/>
        <v>226464.2986666667</v>
      </c>
    </row>
    <row r="157" spans="1:14" ht="22.5" hidden="1" customHeight="1">
      <c r="A157" s="1">
        <v>109712</v>
      </c>
      <c r="B157" s="3" t="s">
        <v>213</v>
      </c>
      <c r="C157" s="1" t="s">
        <v>22</v>
      </c>
      <c r="D157" s="1" t="s">
        <v>29</v>
      </c>
      <c r="E157" s="2">
        <v>225958</v>
      </c>
      <c r="F157" s="1">
        <v>37</v>
      </c>
      <c r="G157" s="11">
        <f t="shared" si="17"/>
        <v>146872.70000000001</v>
      </c>
      <c r="H157" s="11">
        <f t="shared" si="18"/>
        <v>27905.813000000002</v>
      </c>
      <c r="I157" s="13">
        <f t="shared" si="19"/>
        <v>174778.51300000001</v>
      </c>
      <c r="J157" s="11">
        <f t="shared" si="24"/>
        <v>194198.34777777779</v>
      </c>
      <c r="K157" s="12">
        <f t="shared" si="20"/>
        <v>198611.94659090909</v>
      </c>
      <c r="L157" s="12">
        <f t="shared" si="21"/>
        <v>205621.78</v>
      </c>
      <c r="M157" s="12">
        <f t="shared" si="22"/>
        <v>218473.14124999999</v>
      </c>
      <c r="N157" s="12">
        <f t="shared" si="23"/>
        <v>233038.01733333335</v>
      </c>
    </row>
    <row r="158" spans="1:14" ht="22.5" hidden="1" customHeight="1">
      <c r="A158" s="1" t="s">
        <v>214</v>
      </c>
      <c r="B158" s="3" t="s">
        <v>215</v>
      </c>
      <c r="C158" s="1" t="s">
        <v>39</v>
      </c>
      <c r="D158" s="1" t="s">
        <v>86</v>
      </c>
      <c r="E158" s="2">
        <v>572568</v>
      </c>
      <c r="F158" s="1">
        <v>3</v>
      </c>
      <c r="G158" s="11">
        <f t="shared" si="17"/>
        <v>372169.2</v>
      </c>
      <c r="H158" s="11">
        <f t="shared" si="18"/>
        <v>70712.148000000001</v>
      </c>
      <c r="I158" s="13">
        <f t="shared" si="19"/>
        <v>442881.348</v>
      </c>
      <c r="J158" s="11">
        <f t="shared" si="24"/>
        <v>492090.38666666666</v>
      </c>
      <c r="K158" s="12">
        <f t="shared" si="20"/>
        <v>503274.25909090909</v>
      </c>
      <c r="L158" s="12">
        <f t="shared" si="21"/>
        <v>521036.88</v>
      </c>
      <c r="M158" s="12">
        <f t="shared" si="22"/>
        <v>553601.68499999994</v>
      </c>
      <c r="N158" s="12">
        <f t="shared" si="23"/>
        <v>590508.46400000004</v>
      </c>
    </row>
    <row r="159" spans="1:14" ht="22.5" hidden="1" customHeight="1">
      <c r="A159" s="1">
        <v>110547</v>
      </c>
      <c r="B159" s="3" t="s">
        <v>216</v>
      </c>
      <c r="C159" s="1" t="s">
        <v>15</v>
      </c>
      <c r="D159" s="1" t="s">
        <v>23</v>
      </c>
      <c r="E159" s="2">
        <v>237410</v>
      </c>
      <c r="F159" s="1">
        <v>2</v>
      </c>
      <c r="G159" s="11">
        <f t="shared" si="17"/>
        <v>154316.5</v>
      </c>
      <c r="H159" s="11">
        <f t="shared" si="18"/>
        <v>29320.135000000002</v>
      </c>
      <c r="I159" s="13">
        <f t="shared" si="19"/>
        <v>183636.63500000001</v>
      </c>
      <c r="J159" s="11">
        <f t="shared" si="24"/>
        <v>204040.70555555556</v>
      </c>
      <c r="K159" s="12">
        <f t="shared" si="20"/>
        <v>208677.99431818182</v>
      </c>
      <c r="L159" s="12">
        <f t="shared" si="21"/>
        <v>216043.1</v>
      </c>
      <c r="M159" s="12">
        <f t="shared" si="22"/>
        <v>229545.79375000001</v>
      </c>
      <c r="N159" s="12">
        <f t="shared" si="23"/>
        <v>244848.84666666668</v>
      </c>
    </row>
    <row r="160" spans="1:14" ht="22.5" hidden="1" customHeight="1">
      <c r="A160" s="1">
        <v>108894</v>
      </c>
      <c r="B160" s="3" t="s">
        <v>217</v>
      </c>
      <c r="C160" s="1" t="s">
        <v>15</v>
      </c>
      <c r="D160" s="1" t="s">
        <v>23</v>
      </c>
      <c r="E160" s="2">
        <v>272777</v>
      </c>
      <c r="F160" s="1">
        <v>42</v>
      </c>
      <c r="G160" s="11">
        <f t="shared" si="17"/>
        <v>177305.05</v>
      </c>
      <c r="H160" s="11">
        <f t="shared" si="18"/>
        <v>33687.959499999997</v>
      </c>
      <c r="I160" s="13">
        <f t="shared" si="19"/>
        <v>210993.00949999999</v>
      </c>
      <c r="J160" s="11">
        <f t="shared" si="24"/>
        <v>234436.67722222221</v>
      </c>
      <c r="K160" s="12">
        <f t="shared" si="20"/>
        <v>239764.78352272726</v>
      </c>
      <c r="L160" s="12">
        <f t="shared" si="21"/>
        <v>248227.06999999998</v>
      </c>
      <c r="M160" s="12">
        <f t="shared" si="22"/>
        <v>263741.26187499997</v>
      </c>
      <c r="N160" s="12">
        <f t="shared" si="23"/>
        <v>281324.01266666665</v>
      </c>
    </row>
    <row r="161" spans="1:14" ht="22.5" hidden="1" customHeight="1">
      <c r="A161" s="1" t="s">
        <v>218</v>
      </c>
      <c r="B161" s="3" t="s">
        <v>219</v>
      </c>
      <c r="C161" s="1" t="e">
        <v>#N/A</v>
      </c>
      <c r="D161" s="1" t="s">
        <v>86</v>
      </c>
      <c r="E161" s="2">
        <v>544158</v>
      </c>
      <c r="F161" s="1">
        <v>4</v>
      </c>
      <c r="G161" s="11">
        <f t="shared" si="17"/>
        <v>353702.7</v>
      </c>
      <c r="H161" s="11">
        <f t="shared" si="18"/>
        <v>67203.513000000006</v>
      </c>
      <c r="I161" s="13">
        <f t="shared" si="19"/>
        <v>420906.21299999999</v>
      </c>
      <c r="J161" s="11">
        <f t="shared" si="24"/>
        <v>467673.56999999995</v>
      </c>
      <c r="K161" s="12">
        <f t="shared" si="20"/>
        <v>478302.51477272727</v>
      </c>
      <c r="L161" s="12">
        <f t="shared" si="21"/>
        <v>495183.78</v>
      </c>
      <c r="M161" s="12">
        <f t="shared" si="22"/>
        <v>526132.76624999999</v>
      </c>
      <c r="N161" s="12">
        <f t="shared" si="23"/>
        <v>561208.28399999999</v>
      </c>
    </row>
    <row r="162" spans="1:14" ht="22.5" hidden="1" customHeight="1">
      <c r="A162" s="1">
        <v>110118</v>
      </c>
      <c r="B162" s="3" t="s">
        <v>220</v>
      </c>
      <c r="C162" s="1" t="s">
        <v>15</v>
      </c>
      <c r="D162" s="1" t="s">
        <v>29</v>
      </c>
      <c r="E162" s="2">
        <v>255646</v>
      </c>
      <c r="F162" s="1" t="s">
        <v>5</v>
      </c>
      <c r="G162" s="11">
        <f t="shared" si="17"/>
        <v>166169.90000000002</v>
      </c>
      <c r="H162" s="11">
        <f t="shared" si="18"/>
        <v>31572.281000000006</v>
      </c>
      <c r="I162" s="13">
        <f t="shared" si="19"/>
        <v>197742.18100000004</v>
      </c>
      <c r="J162" s="11">
        <f t="shared" si="24"/>
        <v>219713.53444444449</v>
      </c>
      <c r="K162" s="12">
        <f t="shared" si="20"/>
        <v>224707.02386363642</v>
      </c>
      <c r="L162" s="12">
        <f t="shared" si="21"/>
        <v>232637.86000000004</v>
      </c>
      <c r="M162" s="12">
        <f t="shared" si="22"/>
        <v>247177.72625000004</v>
      </c>
      <c r="N162" s="12">
        <f t="shared" si="23"/>
        <v>263656.24133333337</v>
      </c>
    </row>
    <row r="163" spans="1:14" ht="22.5" hidden="1" customHeight="1">
      <c r="A163" s="1">
        <v>112268</v>
      </c>
      <c r="B163" s="3" t="s">
        <v>221</v>
      </c>
      <c r="C163" s="1" t="s">
        <v>15</v>
      </c>
      <c r="D163" s="1" t="s">
        <v>19</v>
      </c>
      <c r="E163" s="2">
        <v>232911</v>
      </c>
      <c r="F163" s="1">
        <v>4</v>
      </c>
      <c r="G163" s="11">
        <f t="shared" si="17"/>
        <v>151392.15000000002</v>
      </c>
      <c r="H163" s="11">
        <f t="shared" si="18"/>
        <v>28764.508500000004</v>
      </c>
      <c r="I163" s="13">
        <f t="shared" si="19"/>
        <v>180156.65850000002</v>
      </c>
      <c r="J163" s="11">
        <f t="shared" si="24"/>
        <v>200174.065</v>
      </c>
      <c r="K163" s="12">
        <f t="shared" si="20"/>
        <v>204723.47556818184</v>
      </c>
      <c r="L163" s="12">
        <f t="shared" si="21"/>
        <v>211949.01000000004</v>
      </c>
      <c r="M163" s="12">
        <f t="shared" si="22"/>
        <v>225195.82312500002</v>
      </c>
      <c r="N163" s="12">
        <f t="shared" si="23"/>
        <v>240208.87800000003</v>
      </c>
    </row>
    <row r="164" spans="1:14" ht="22.5" hidden="1" customHeight="1">
      <c r="A164" s="1">
        <v>112266</v>
      </c>
      <c r="B164" s="3" t="s">
        <v>222</v>
      </c>
      <c r="C164" s="1" t="s">
        <v>15</v>
      </c>
      <c r="D164" s="1" t="s">
        <v>19</v>
      </c>
      <c r="E164" s="2">
        <v>175988</v>
      </c>
      <c r="F164" s="1">
        <v>1</v>
      </c>
      <c r="G164" s="11">
        <f t="shared" si="17"/>
        <v>114392.20000000001</v>
      </c>
      <c r="H164" s="11">
        <f t="shared" si="18"/>
        <v>21734.518000000004</v>
      </c>
      <c r="I164" s="13">
        <f t="shared" si="19"/>
        <v>136126.71800000002</v>
      </c>
      <c r="J164" s="11">
        <f t="shared" si="24"/>
        <v>151251.90888888892</v>
      </c>
      <c r="K164" s="12">
        <f t="shared" si="20"/>
        <v>154689.4522727273</v>
      </c>
      <c r="L164" s="12">
        <f t="shared" si="21"/>
        <v>160149.08000000002</v>
      </c>
      <c r="M164" s="12">
        <f t="shared" si="22"/>
        <v>170158.39750000002</v>
      </c>
      <c r="N164" s="12">
        <f t="shared" si="23"/>
        <v>181502.2906666667</v>
      </c>
    </row>
    <row r="165" spans="1:14" ht="22.5" hidden="1" customHeight="1">
      <c r="A165" s="1">
        <v>112267</v>
      </c>
      <c r="B165" s="3" t="s">
        <v>223</v>
      </c>
      <c r="C165" s="1" t="s">
        <v>15</v>
      </c>
      <c r="D165" s="1" t="s">
        <v>19</v>
      </c>
      <c r="E165" s="2">
        <v>179186</v>
      </c>
      <c r="F165" s="1">
        <v>1</v>
      </c>
      <c r="G165" s="11">
        <f t="shared" si="17"/>
        <v>116470.9</v>
      </c>
      <c r="H165" s="11">
        <f t="shared" si="18"/>
        <v>22129.470999999998</v>
      </c>
      <c r="I165" s="13">
        <f t="shared" si="19"/>
        <v>138600.37099999998</v>
      </c>
      <c r="J165" s="11">
        <f t="shared" si="24"/>
        <v>154000.41222222219</v>
      </c>
      <c r="K165" s="12">
        <f t="shared" si="20"/>
        <v>157500.42159090907</v>
      </c>
      <c r="L165" s="12">
        <f t="shared" si="21"/>
        <v>163059.25999999998</v>
      </c>
      <c r="M165" s="12">
        <f t="shared" si="22"/>
        <v>173250.46374999997</v>
      </c>
      <c r="N165" s="12">
        <f t="shared" si="23"/>
        <v>184800.49466666664</v>
      </c>
    </row>
    <row r="166" spans="1:14" ht="22.5" hidden="1" customHeight="1">
      <c r="A166" s="1">
        <v>112789</v>
      </c>
      <c r="B166" s="3" t="s">
        <v>224</v>
      </c>
      <c r="C166" s="1" t="s">
        <v>22</v>
      </c>
      <c r="D166" s="1" t="s">
        <v>73</v>
      </c>
      <c r="E166" s="2">
        <v>260386</v>
      </c>
      <c r="F166" s="1">
        <v>6</v>
      </c>
      <c r="G166" s="11">
        <f t="shared" si="17"/>
        <v>169250.90000000002</v>
      </c>
      <c r="H166" s="11">
        <f t="shared" si="18"/>
        <v>32157.671000000006</v>
      </c>
      <c r="I166" s="13">
        <f t="shared" si="19"/>
        <v>201408.57100000003</v>
      </c>
      <c r="J166" s="11">
        <f t="shared" si="24"/>
        <v>223787.30111111113</v>
      </c>
      <c r="K166" s="12">
        <f t="shared" si="20"/>
        <v>228873.37613636366</v>
      </c>
      <c r="L166" s="12">
        <f t="shared" si="21"/>
        <v>236951.26000000004</v>
      </c>
      <c r="M166" s="12">
        <f t="shared" si="22"/>
        <v>251760.71375000002</v>
      </c>
      <c r="N166" s="12">
        <f t="shared" si="23"/>
        <v>268544.76133333339</v>
      </c>
    </row>
    <row r="167" spans="1:14" ht="22.5" hidden="1" customHeight="1">
      <c r="A167" s="1">
        <v>112852</v>
      </c>
      <c r="B167" s="3" t="s">
        <v>225</v>
      </c>
      <c r="C167" s="1" t="s">
        <v>15</v>
      </c>
      <c r="D167" s="1" t="s">
        <v>73</v>
      </c>
      <c r="E167" s="2">
        <v>230746</v>
      </c>
      <c r="F167" s="1">
        <v>2</v>
      </c>
      <c r="G167" s="11">
        <f t="shared" si="17"/>
        <v>149984.90000000002</v>
      </c>
      <c r="H167" s="11">
        <f t="shared" si="18"/>
        <v>28497.131000000005</v>
      </c>
      <c r="I167" s="13">
        <f t="shared" si="19"/>
        <v>178482.03100000002</v>
      </c>
      <c r="J167" s="11">
        <f t="shared" si="24"/>
        <v>198313.36777777778</v>
      </c>
      <c r="K167" s="12">
        <f t="shared" si="20"/>
        <v>202820.48977272731</v>
      </c>
      <c r="L167" s="12">
        <f t="shared" si="21"/>
        <v>209978.86000000002</v>
      </c>
      <c r="M167" s="12">
        <f t="shared" si="22"/>
        <v>223102.53875000001</v>
      </c>
      <c r="N167" s="12">
        <f t="shared" si="23"/>
        <v>237976.04133333336</v>
      </c>
    </row>
    <row r="168" spans="1:14" ht="22.5" hidden="1" customHeight="1">
      <c r="A168" s="1" t="s">
        <v>226</v>
      </c>
      <c r="B168" s="3" t="s">
        <v>227</v>
      </c>
      <c r="C168" s="1" t="s">
        <v>15</v>
      </c>
      <c r="D168" s="1" t="s">
        <v>84</v>
      </c>
      <c r="E168" s="2">
        <v>600000</v>
      </c>
      <c r="F168" s="1">
        <v>2</v>
      </c>
      <c r="G168" s="11">
        <f t="shared" si="17"/>
        <v>390000</v>
      </c>
      <c r="H168" s="11">
        <f t="shared" si="18"/>
        <v>74100</v>
      </c>
      <c r="I168" s="13">
        <f t="shared" si="19"/>
        <v>464100</v>
      </c>
      <c r="J168" s="11">
        <f t="shared" si="24"/>
        <v>515666.66666666663</v>
      </c>
      <c r="K168" s="12">
        <f t="shared" si="20"/>
        <v>527386.36363636365</v>
      </c>
      <c r="L168" s="12">
        <f t="shared" si="21"/>
        <v>546000</v>
      </c>
      <c r="M168" s="12">
        <f t="shared" si="22"/>
        <v>580125</v>
      </c>
      <c r="N168" s="12">
        <f t="shared" si="23"/>
        <v>618800</v>
      </c>
    </row>
    <row r="169" spans="1:14" ht="22.5" hidden="1" customHeight="1">
      <c r="A169" s="1">
        <v>151026</v>
      </c>
      <c r="B169" s="3" t="s">
        <v>228</v>
      </c>
      <c r="C169" s="1" t="s">
        <v>25</v>
      </c>
      <c r="D169" s="1" t="s">
        <v>19</v>
      </c>
      <c r="E169" s="2">
        <v>230289</v>
      </c>
      <c r="F169" s="1">
        <v>21</v>
      </c>
      <c r="G169" s="11">
        <f t="shared" si="17"/>
        <v>149687.85</v>
      </c>
      <c r="H169" s="11">
        <f t="shared" si="18"/>
        <v>28440.691500000001</v>
      </c>
      <c r="I169" s="13">
        <f t="shared" si="19"/>
        <v>178128.54149999999</v>
      </c>
      <c r="J169" s="11">
        <f t="shared" si="24"/>
        <v>197920.60166666665</v>
      </c>
      <c r="K169" s="12">
        <f t="shared" si="20"/>
        <v>202418.7971590909</v>
      </c>
      <c r="L169" s="12">
        <f t="shared" si="21"/>
        <v>209562.99</v>
      </c>
      <c r="M169" s="12">
        <f t="shared" si="22"/>
        <v>222660.67687499998</v>
      </c>
      <c r="N169" s="12">
        <f t="shared" si="23"/>
        <v>237504.72199999998</v>
      </c>
    </row>
    <row r="170" spans="1:14" ht="22.5" hidden="1" customHeight="1">
      <c r="A170" s="1">
        <v>151011</v>
      </c>
      <c r="B170" s="3" t="s">
        <v>229</v>
      </c>
      <c r="C170" s="1" t="s">
        <v>39</v>
      </c>
      <c r="D170" s="1" t="s">
        <v>19</v>
      </c>
      <c r="E170" s="2">
        <v>233456</v>
      </c>
      <c r="F170" s="1" t="s">
        <v>5</v>
      </c>
      <c r="G170" s="11">
        <f t="shared" si="17"/>
        <v>151746.40000000002</v>
      </c>
      <c r="H170" s="11">
        <f t="shared" si="18"/>
        <v>28831.816000000006</v>
      </c>
      <c r="I170" s="13">
        <f t="shared" si="19"/>
        <v>180578.21600000001</v>
      </c>
      <c r="J170" s="11">
        <f t="shared" si="24"/>
        <v>200642.46222222224</v>
      </c>
      <c r="K170" s="12">
        <f t="shared" si="20"/>
        <v>205202.51818181819</v>
      </c>
      <c r="L170" s="12">
        <f t="shared" si="21"/>
        <v>212444.96000000002</v>
      </c>
      <c r="M170" s="12">
        <f t="shared" si="22"/>
        <v>225722.77000000002</v>
      </c>
      <c r="N170" s="12">
        <f t="shared" si="23"/>
        <v>240770.95466666669</v>
      </c>
    </row>
    <row r="171" spans="1:14" ht="22.5" hidden="1" customHeight="1">
      <c r="A171" s="1" t="s">
        <v>230</v>
      </c>
      <c r="B171" s="3" t="s">
        <v>231</v>
      </c>
      <c r="C171" s="1" t="s">
        <v>22</v>
      </c>
      <c r="D171" s="1" t="s">
        <v>69</v>
      </c>
      <c r="E171" s="2">
        <v>769051</v>
      </c>
      <c r="F171" s="1">
        <v>4</v>
      </c>
      <c r="G171" s="11">
        <f t="shared" si="17"/>
        <v>499883.15</v>
      </c>
      <c r="H171" s="11">
        <f t="shared" si="18"/>
        <v>94977.798500000004</v>
      </c>
      <c r="I171" s="13">
        <f t="shared" si="19"/>
        <v>594860.94850000006</v>
      </c>
      <c r="J171" s="11">
        <f t="shared" si="24"/>
        <v>660956.60944444453</v>
      </c>
      <c r="K171" s="12">
        <f t="shared" si="20"/>
        <v>675978.35056818184</v>
      </c>
      <c r="L171" s="12">
        <f t="shared" si="21"/>
        <v>699836.41</v>
      </c>
      <c r="M171" s="12">
        <f t="shared" si="22"/>
        <v>743576.18562500004</v>
      </c>
      <c r="N171" s="12">
        <f t="shared" si="23"/>
        <v>793147.93133333337</v>
      </c>
    </row>
    <row r="172" spans="1:14" ht="22.5" hidden="1" customHeight="1">
      <c r="A172" s="1">
        <v>151068</v>
      </c>
      <c r="B172" s="3" t="s">
        <v>232</v>
      </c>
      <c r="C172" s="1" t="s">
        <v>233</v>
      </c>
      <c r="D172" s="1" t="s">
        <v>19</v>
      </c>
      <c r="E172" s="2">
        <v>233229</v>
      </c>
      <c r="F172" s="1" t="s">
        <v>5</v>
      </c>
      <c r="G172" s="11">
        <f t="shared" si="17"/>
        <v>151598.85</v>
      </c>
      <c r="H172" s="11">
        <f t="shared" si="18"/>
        <v>28803.781500000001</v>
      </c>
      <c r="I172" s="13">
        <f t="shared" si="19"/>
        <v>180402.63150000002</v>
      </c>
      <c r="J172" s="11">
        <f t="shared" si="24"/>
        <v>200447.36833333335</v>
      </c>
      <c r="K172" s="12">
        <f t="shared" si="20"/>
        <v>205002.99034090911</v>
      </c>
      <c r="L172" s="12">
        <f t="shared" si="21"/>
        <v>212238.39</v>
      </c>
      <c r="M172" s="12">
        <f t="shared" si="22"/>
        <v>225503.28937500002</v>
      </c>
      <c r="N172" s="12">
        <f t="shared" si="23"/>
        <v>240536.84200000003</v>
      </c>
    </row>
    <row r="173" spans="1:14" ht="22.5" hidden="1" customHeight="1">
      <c r="A173" s="1">
        <v>151007</v>
      </c>
      <c r="B173" s="3" t="s">
        <v>234</v>
      </c>
      <c r="C173" s="1" t="s">
        <v>18</v>
      </c>
      <c r="D173" s="1" t="s">
        <v>19</v>
      </c>
      <c r="E173" s="2">
        <v>221205</v>
      </c>
      <c r="F173" s="1" t="s">
        <v>5</v>
      </c>
      <c r="G173" s="11">
        <f t="shared" si="17"/>
        <v>143783.25</v>
      </c>
      <c r="H173" s="11">
        <f t="shared" si="18"/>
        <v>27318.817500000001</v>
      </c>
      <c r="I173" s="13">
        <f t="shared" si="19"/>
        <v>171102.0675</v>
      </c>
      <c r="J173" s="11">
        <f t="shared" si="24"/>
        <v>190113.40833333333</v>
      </c>
      <c r="K173" s="12">
        <f t="shared" si="20"/>
        <v>194434.16761363638</v>
      </c>
      <c r="L173" s="12">
        <f t="shared" si="21"/>
        <v>201296.55000000002</v>
      </c>
      <c r="M173" s="12">
        <f t="shared" si="22"/>
        <v>213877.58437500001</v>
      </c>
      <c r="N173" s="12">
        <f t="shared" si="23"/>
        <v>228136.09</v>
      </c>
    </row>
    <row r="174" spans="1:14" ht="22.5" customHeight="1">
      <c r="A174" s="1">
        <v>151006</v>
      </c>
      <c r="B174" s="3" t="s">
        <v>235</v>
      </c>
      <c r="C174" s="1" t="s">
        <v>15</v>
      </c>
      <c r="D174" s="1" t="s">
        <v>19</v>
      </c>
      <c r="E174" s="2">
        <v>203688</v>
      </c>
      <c r="F174" s="1" t="s">
        <v>5</v>
      </c>
      <c r="G174" s="11">
        <f t="shared" si="17"/>
        <v>132397.20000000001</v>
      </c>
      <c r="H174" s="11">
        <f t="shared" si="18"/>
        <v>25155.468000000001</v>
      </c>
      <c r="I174" s="13">
        <f t="shared" si="19"/>
        <v>157552.66800000001</v>
      </c>
      <c r="J174" s="11">
        <f t="shared" si="24"/>
        <v>175058.52</v>
      </c>
      <c r="K174" s="12">
        <f t="shared" si="20"/>
        <v>179037.12272727274</v>
      </c>
      <c r="L174" s="12">
        <f t="shared" si="21"/>
        <v>185356.08000000002</v>
      </c>
      <c r="M174" s="12">
        <f t="shared" si="22"/>
        <v>196940.83499999999</v>
      </c>
      <c r="N174" s="12">
        <f t="shared" si="23"/>
        <v>210070.22400000002</v>
      </c>
    </row>
    <row r="175" spans="1:14" ht="22.5" hidden="1" customHeight="1">
      <c r="A175" s="1">
        <v>112669</v>
      </c>
      <c r="B175" s="3" t="s">
        <v>236</v>
      </c>
      <c r="C175" s="1" t="s">
        <v>22</v>
      </c>
      <c r="D175" s="1" t="s">
        <v>42</v>
      </c>
      <c r="E175" s="2">
        <v>489097</v>
      </c>
      <c r="F175" s="1">
        <v>3</v>
      </c>
      <c r="G175" s="11">
        <f t="shared" si="17"/>
        <v>317913.05000000005</v>
      </c>
      <c r="H175" s="11">
        <f t="shared" si="18"/>
        <v>60403.479500000009</v>
      </c>
      <c r="I175" s="13">
        <f t="shared" si="19"/>
        <v>378316.52950000006</v>
      </c>
      <c r="J175" s="11">
        <f t="shared" si="24"/>
        <v>420351.6994444445</v>
      </c>
      <c r="K175" s="12">
        <f t="shared" si="20"/>
        <v>429905.14715909096</v>
      </c>
      <c r="L175" s="12">
        <f t="shared" si="21"/>
        <v>445078.27000000008</v>
      </c>
      <c r="M175" s="12">
        <f t="shared" si="22"/>
        <v>472895.66187500005</v>
      </c>
      <c r="N175" s="12">
        <f t="shared" si="23"/>
        <v>504422.03933333344</v>
      </c>
    </row>
    <row r="176" spans="1:14" ht="22.5" hidden="1" customHeight="1">
      <c r="A176" s="1">
        <v>109416</v>
      </c>
      <c r="B176" s="3" t="s">
        <v>237</v>
      </c>
      <c r="C176" s="1" t="s">
        <v>15</v>
      </c>
      <c r="D176" s="1" t="s">
        <v>23</v>
      </c>
      <c r="E176" s="2">
        <v>248449</v>
      </c>
      <c r="F176" s="1">
        <v>1</v>
      </c>
      <c r="G176" s="11">
        <f t="shared" si="17"/>
        <v>161491.85</v>
      </c>
      <c r="H176" s="11">
        <f t="shared" si="18"/>
        <v>30683.451500000003</v>
      </c>
      <c r="I176" s="13">
        <f t="shared" si="19"/>
        <v>192175.3015</v>
      </c>
      <c r="J176" s="11">
        <f t="shared" si="24"/>
        <v>213528.11277777777</v>
      </c>
      <c r="K176" s="12">
        <f t="shared" si="20"/>
        <v>218381.02443181819</v>
      </c>
      <c r="L176" s="12">
        <f t="shared" si="21"/>
        <v>226088.59</v>
      </c>
      <c r="M176" s="12">
        <f t="shared" si="22"/>
        <v>240219.12687499999</v>
      </c>
      <c r="N176" s="12">
        <f t="shared" si="23"/>
        <v>256233.73533333334</v>
      </c>
    </row>
    <row r="177" spans="1:14" ht="22.5" customHeight="1">
      <c r="A177" s="1">
        <v>111492</v>
      </c>
      <c r="B177" s="3" t="s">
        <v>238</v>
      </c>
      <c r="C177" s="1" t="s">
        <v>15</v>
      </c>
      <c r="D177" s="1" t="s">
        <v>29</v>
      </c>
      <c r="E177" s="2">
        <v>237963</v>
      </c>
      <c r="F177" s="1" t="s">
        <v>5</v>
      </c>
      <c r="G177" s="11">
        <f t="shared" si="17"/>
        <v>154675.95000000001</v>
      </c>
      <c r="H177" s="11">
        <f t="shared" si="18"/>
        <v>29388.430500000002</v>
      </c>
      <c r="I177" s="13">
        <f t="shared" si="19"/>
        <v>184064.38050000003</v>
      </c>
      <c r="J177" s="11">
        <f t="shared" si="24"/>
        <v>204515.97833333336</v>
      </c>
      <c r="K177" s="12">
        <f t="shared" si="20"/>
        <v>209164.06875000003</v>
      </c>
      <c r="L177" s="12">
        <f t="shared" si="21"/>
        <v>216546.33000000005</v>
      </c>
      <c r="M177" s="12">
        <f t="shared" si="22"/>
        <v>230080.47562500002</v>
      </c>
      <c r="N177" s="12">
        <f t="shared" si="23"/>
        <v>245419.17400000003</v>
      </c>
    </row>
    <row r="178" spans="1:14" ht="22.5" hidden="1" customHeight="1">
      <c r="A178" s="1">
        <v>108803</v>
      </c>
      <c r="B178" s="3" t="s">
        <v>239</v>
      </c>
      <c r="C178" s="1" t="s">
        <v>18</v>
      </c>
      <c r="D178" s="1" t="s">
        <v>29</v>
      </c>
      <c r="E178" s="2">
        <v>253075</v>
      </c>
      <c r="F178" s="1">
        <v>2</v>
      </c>
      <c r="G178" s="11">
        <f t="shared" si="17"/>
        <v>164498.75</v>
      </c>
      <c r="H178" s="11">
        <f t="shared" si="18"/>
        <v>31254.762500000001</v>
      </c>
      <c r="I178" s="13">
        <f t="shared" si="19"/>
        <v>195753.51250000001</v>
      </c>
      <c r="J178" s="11">
        <f t="shared" si="24"/>
        <v>217503.90277777778</v>
      </c>
      <c r="K178" s="12">
        <f t="shared" si="20"/>
        <v>222447.17329545456</v>
      </c>
      <c r="L178" s="12">
        <f t="shared" si="21"/>
        <v>230298.25000000003</v>
      </c>
      <c r="M178" s="12">
        <f t="shared" si="22"/>
        <v>244691.890625</v>
      </c>
      <c r="N178" s="12">
        <f t="shared" si="23"/>
        <v>261004.68333333335</v>
      </c>
    </row>
    <row r="179" spans="1:14" ht="22.5" hidden="1" customHeight="1">
      <c r="A179" s="1">
        <v>109297</v>
      </c>
      <c r="B179" s="3" t="s">
        <v>240</v>
      </c>
      <c r="C179" s="1" t="s">
        <v>22</v>
      </c>
      <c r="D179" s="1" t="s">
        <v>29</v>
      </c>
      <c r="E179" s="2">
        <v>270953</v>
      </c>
      <c r="F179" s="1">
        <v>1</v>
      </c>
      <c r="G179" s="11">
        <f t="shared" si="17"/>
        <v>176119.45</v>
      </c>
      <c r="H179" s="11">
        <f t="shared" si="18"/>
        <v>33462.695500000002</v>
      </c>
      <c r="I179" s="13">
        <f t="shared" si="19"/>
        <v>209582.14550000001</v>
      </c>
      <c r="J179" s="11">
        <f t="shared" si="24"/>
        <v>232869.05055555556</v>
      </c>
      <c r="K179" s="12">
        <f t="shared" si="20"/>
        <v>238161.52897727274</v>
      </c>
      <c r="L179" s="12">
        <f t="shared" si="21"/>
        <v>246567.23</v>
      </c>
      <c r="M179" s="12">
        <f t="shared" si="22"/>
        <v>261977.68187500001</v>
      </c>
      <c r="N179" s="12">
        <f t="shared" si="23"/>
        <v>279442.8606666667</v>
      </c>
    </row>
    <row r="180" spans="1:14" ht="22.5" hidden="1" customHeight="1">
      <c r="A180" s="1">
        <v>108201</v>
      </c>
      <c r="B180" s="3" t="s">
        <v>241</v>
      </c>
      <c r="C180" s="1" t="s">
        <v>25</v>
      </c>
      <c r="D180" s="1" t="s">
        <v>29</v>
      </c>
      <c r="E180" s="2">
        <v>261422</v>
      </c>
      <c r="F180" s="1" t="s">
        <v>5</v>
      </c>
      <c r="G180" s="11">
        <f t="shared" si="17"/>
        <v>169924.3</v>
      </c>
      <c r="H180" s="11">
        <f t="shared" si="18"/>
        <v>32285.616999999998</v>
      </c>
      <c r="I180" s="13">
        <f t="shared" si="19"/>
        <v>202209.91699999999</v>
      </c>
      <c r="J180" s="11">
        <f t="shared" si="24"/>
        <v>224677.68555555554</v>
      </c>
      <c r="K180" s="12">
        <f t="shared" si="20"/>
        <v>229783.99659090908</v>
      </c>
      <c r="L180" s="12">
        <f t="shared" si="21"/>
        <v>237894.02</v>
      </c>
      <c r="M180" s="12">
        <f t="shared" si="22"/>
        <v>252762.39624999996</v>
      </c>
      <c r="N180" s="12">
        <f t="shared" si="23"/>
        <v>269613.22266666667</v>
      </c>
    </row>
    <row r="181" spans="1:14" ht="22.5" hidden="1" customHeight="1">
      <c r="A181" s="1">
        <v>112890</v>
      </c>
      <c r="B181" s="3" t="s">
        <v>242</v>
      </c>
      <c r="C181" s="1" t="s">
        <v>22</v>
      </c>
      <c r="D181" s="1" t="s">
        <v>29</v>
      </c>
      <c r="E181" s="2">
        <v>267969</v>
      </c>
      <c r="F181" s="1" t="s">
        <v>5</v>
      </c>
      <c r="G181" s="11">
        <f t="shared" si="17"/>
        <v>174179.85</v>
      </c>
      <c r="H181" s="11">
        <f t="shared" si="18"/>
        <v>33094.171500000004</v>
      </c>
      <c r="I181" s="13">
        <f t="shared" si="19"/>
        <v>207274.0215</v>
      </c>
      <c r="J181" s="11">
        <f t="shared" si="24"/>
        <v>230304.46833333332</v>
      </c>
      <c r="K181" s="12">
        <f t="shared" si="20"/>
        <v>235538.66079545455</v>
      </c>
      <c r="L181" s="12">
        <f t="shared" si="21"/>
        <v>243851.79</v>
      </c>
      <c r="M181" s="12">
        <f t="shared" si="22"/>
        <v>259092.52687499998</v>
      </c>
      <c r="N181" s="12">
        <f t="shared" si="23"/>
        <v>276365.36200000002</v>
      </c>
    </row>
    <row r="182" spans="1:14" ht="22.5" hidden="1" customHeight="1">
      <c r="A182" s="1">
        <v>150693</v>
      </c>
      <c r="B182" s="3" t="s">
        <v>243</v>
      </c>
      <c r="C182" s="1" t="s">
        <v>18</v>
      </c>
      <c r="D182" s="1" t="s">
        <v>34</v>
      </c>
      <c r="E182" s="2">
        <v>288642</v>
      </c>
      <c r="F182" s="1">
        <v>84</v>
      </c>
      <c r="G182" s="11">
        <f t="shared" si="17"/>
        <v>187617.3</v>
      </c>
      <c r="H182" s="11">
        <f t="shared" si="18"/>
        <v>35647.286999999997</v>
      </c>
      <c r="I182" s="13">
        <f t="shared" si="19"/>
        <v>223264.587</v>
      </c>
      <c r="J182" s="11">
        <f t="shared" si="24"/>
        <v>248071.76333333334</v>
      </c>
      <c r="K182" s="12">
        <f t="shared" si="20"/>
        <v>253709.75795454546</v>
      </c>
      <c r="L182" s="12">
        <f t="shared" si="21"/>
        <v>262664.22000000003</v>
      </c>
      <c r="M182" s="12">
        <f t="shared" si="22"/>
        <v>279080.73374999996</v>
      </c>
      <c r="N182" s="12">
        <f t="shared" si="23"/>
        <v>297686.11599999998</v>
      </c>
    </row>
    <row r="183" spans="1:14" ht="22.5" hidden="1" customHeight="1">
      <c r="A183" s="1">
        <v>112960</v>
      </c>
      <c r="B183" s="3" t="s">
        <v>244</v>
      </c>
      <c r="C183" s="1" t="s">
        <v>22</v>
      </c>
      <c r="D183" s="1" t="s">
        <v>245</v>
      </c>
      <c r="E183" s="2">
        <v>215662</v>
      </c>
      <c r="F183" s="1">
        <v>1</v>
      </c>
      <c r="G183" s="11">
        <f t="shared" si="17"/>
        <v>140180.29999999999</v>
      </c>
      <c r="H183" s="11">
        <f t="shared" si="18"/>
        <v>26634.256999999998</v>
      </c>
      <c r="I183" s="13">
        <f t="shared" si="19"/>
        <v>166814.55699999997</v>
      </c>
      <c r="J183" s="11">
        <f t="shared" si="24"/>
        <v>185349.50777777773</v>
      </c>
      <c r="K183" s="12">
        <f t="shared" si="20"/>
        <v>189561.99659090905</v>
      </c>
      <c r="L183" s="12">
        <f t="shared" si="21"/>
        <v>196252.41999999998</v>
      </c>
      <c r="M183" s="12">
        <f t="shared" si="22"/>
        <v>208518.19624999995</v>
      </c>
      <c r="N183" s="12">
        <f t="shared" si="23"/>
        <v>222419.40933333329</v>
      </c>
    </row>
    <row r="184" spans="1:14" ht="22.5" hidden="1" customHeight="1">
      <c r="A184" s="1">
        <v>151072</v>
      </c>
      <c r="B184" s="3" t="s">
        <v>246</v>
      </c>
      <c r="C184" s="1" t="s">
        <v>18</v>
      </c>
      <c r="D184" s="1" t="s">
        <v>92</v>
      </c>
      <c r="E184" s="2">
        <v>197593</v>
      </c>
      <c r="F184" s="1" t="s">
        <v>5</v>
      </c>
      <c r="G184" s="11">
        <f t="shared" si="17"/>
        <v>128435.45000000001</v>
      </c>
      <c r="H184" s="11">
        <f t="shared" si="18"/>
        <v>24402.735500000003</v>
      </c>
      <c r="I184" s="13">
        <f t="shared" si="19"/>
        <v>152838.18550000002</v>
      </c>
      <c r="J184" s="11">
        <f t="shared" si="24"/>
        <v>169820.20611111113</v>
      </c>
      <c r="K184" s="12">
        <f t="shared" si="20"/>
        <v>173679.75625000003</v>
      </c>
      <c r="L184" s="12">
        <f t="shared" si="21"/>
        <v>179809.63000000003</v>
      </c>
      <c r="M184" s="12">
        <f t="shared" si="22"/>
        <v>191047.73187500003</v>
      </c>
      <c r="N184" s="12">
        <f t="shared" si="23"/>
        <v>203784.24733333336</v>
      </c>
    </row>
    <row r="185" spans="1:14" ht="22.5" hidden="1" customHeight="1">
      <c r="A185" s="1">
        <v>112902</v>
      </c>
      <c r="B185" s="3" t="s">
        <v>247</v>
      </c>
      <c r="C185" s="1" t="s">
        <v>15</v>
      </c>
      <c r="D185" s="1" t="s">
        <v>248</v>
      </c>
      <c r="E185" s="2">
        <v>181290</v>
      </c>
      <c r="F185" s="1">
        <v>1</v>
      </c>
      <c r="G185" s="11">
        <f t="shared" si="17"/>
        <v>117838.5</v>
      </c>
      <c r="H185" s="11">
        <f t="shared" si="18"/>
        <v>22389.314999999999</v>
      </c>
      <c r="I185" s="13">
        <f t="shared" si="19"/>
        <v>140227.815</v>
      </c>
      <c r="J185" s="11">
        <f t="shared" si="24"/>
        <v>155808.68333333332</v>
      </c>
      <c r="K185" s="12">
        <f t="shared" si="20"/>
        <v>159349.78977272726</v>
      </c>
      <c r="L185" s="12">
        <f t="shared" si="21"/>
        <v>164973.9</v>
      </c>
      <c r="M185" s="12">
        <f t="shared" si="22"/>
        <v>175284.76874999999</v>
      </c>
      <c r="N185" s="12">
        <f t="shared" si="23"/>
        <v>186970.42</v>
      </c>
    </row>
    <row r="186" spans="1:14" ht="22.5" customHeight="1">
      <c r="A186" s="1">
        <v>112250</v>
      </c>
      <c r="B186" s="3" t="s">
        <v>249</v>
      </c>
      <c r="C186" s="1" t="s">
        <v>15</v>
      </c>
      <c r="D186" s="1" t="s">
        <v>250</v>
      </c>
      <c r="E186" s="2">
        <v>281335</v>
      </c>
      <c r="F186" s="1" t="s">
        <v>5</v>
      </c>
      <c r="G186" s="11">
        <f t="shared" si="17"/>
        <v>182867.75</v>
      </c>
      <c r="H186" s="11">
        <f t="shared" si="18"/>
        <v>34744.872499999998</v>
      </c>
      <c r="I186" s="13">
        <f t="shared" si="19"/>
        <v>217612.6225</v>
      </c>
      <c r="J186" s="11">
        <f t="shared" si="24"/>
        <v>241791.80277777778</v>
      </c>
      <c r="K186" s="12">
        <f t="shared" si="20"/>
        <v>247287.07102272726</v>
      </c>
      <c r="L186" s="12">
        <f t="shared" si="21"/>
        <v>256014.85</v>
      </c>
      <c r="M186" s="12">
        <f t="shared" si="22"/>
        <v>272015.77812499995</v>
      </c>
      <c r="N186" s="12">
        <f t="shared" si="23"/>
        <v>290150.16333333333</v>
      </c>
    </row>
    <row r="187" spans="1:14" ht="22.5" hidden="1" customHeight="1">
      <c r="A187" s="1">
        <v>112249</v>
      </c>
      <c r="B187" s="3" t="s">
        <v>251</v>
      </c>
      <c r="C187" s="1" t="s">
        <v>18</v>
      </c>
      <c r="D187" s="1" t="s">
        <v>250</v>
      </c>
      <c r="E187" s="2">
        <v>215914</v>
      </c>
      <c r="F187" s="1">
        <v>1</v>
      </c>
      <c r="G187" s="11">
        <f t="shared" si="17"/>
        <v>140344.1</v>
      </c>
      <c r="H187" s="11">
        <f t="shared" si="18"/>
        <v>26665.379000000001</v>
      </c>
      <c r="I187" s="13">
        <f t="shared" si="19"/>
        <v>167009.47899999999</v>
      </c>
      <c r="J187" s="11">
        <f t="shared" si="24"/>
        <v>185566.08777777778</v>
      </c>
      <c r="K187" s="12">
        <f t="shared" si="20"/>
        <v>189783.49886363634</v>
      </c>
      <c r="L187" s="12">
        <f t="shared" si="21"/>
        <v>196481.74</v>
      </c>
      <c r="M187" s="12">
        <f t="shared" si="22"/>
        <v>208761.84874999998</v>
      </c>
      <c r="N187" s="12">
        <f t="shared" si="23"/>
        <v>222679.30533333332</v>
      </c>
    </row>
    <row r="188" spans="1:14" ht="22.5" hidden="1" customHeight="1">
      <c r="A188" s="1">
        <v>112887</v>
      </c>
      <c r="B188" s="3" t="s">
        <v>252</v>
      </c>
      <c r="C188" s="1" t="s">
        <v>25</v>
      </c>
      <c r="D188" s="1" t="s">
        <v>16</v>
      </c>
      <c r="E188" s="2">
        <v>370240</v>
      </c>
      <c r="F188" s="1">
        <v>96</v>
      </c>
      <c r="G188" s="11">
        <f t="shared" si="17"/>
        <v>240656</v>
      </c>
      <c r="H188" s="11">
        <f t="shared" si="18"/>
        <v>45724.639999999999</v>
      </c>
      <c r="I188" s="13">
        <f t="shared" si="19"/>
        <v>286380.64</v>
      </c>
      <c r="J188" s="11">
        <f t="shared" si="24"/>
        <v>318200.7111111111</v>
      </c>
      <c r="K188" s="12">
        <f t="shared" si="20"/>
        <v>325432.54545454547</v>
      </c>
      <c r="L188" s="12">
        <f t="shared" si="21"/>
        <v>336918.4</v>
      </c>
      <c r="M188" s="12">
        <f t="shared" si="22"/>
        <v>357975.8</v>
      </c>
      <c r="N188" s="12">
        <f t="shared" si="23"/>
        <v>381840.85333333333</v>
      </c>
    </row>
    <row r="189" spans="1:14" ht="22.5" customHeight="1">
      <c r="A189" s="1">
        <v>110083</v>
      </c>
      <c r="B189" s="3" t="s">
        <v>253</v>
      </c>
      <c r="C189" s="1" t="s">
        <v>15</v>
      </c>
      <c r="D189" s="1" t="s">
        <v>23</v>
      </c>
      <c r="E189" s="2">
        <v>266078</v>
      </c>
      <c r="F189" s="1" t="s">
        <v>5</v>
      </c>
      <c r="G189" s="11">
        <f t="shared" si="17"/>
        <v>172950.7</v>
      </c>
      <c r="H189" s="11">
        <f t="shared" si="18"/>
        <v>32860.633000000002</v>
      </c>
      <c r="I189" s="13">
        <f t="shared" si="19"/>
        <v>205811.33300000001</v>
      </c>
      <c r="J189" s="11">
        <f t="shared" si="24"/>
        <v>228679.2588888889</v>
      </c>
      <c r="K189" s="12">
        <f t="shared" si="20"/>
        <v>233876.5147727273</v>
      </c>
      <c r="L189" s="12">
        <f t="shared" si="21"/>
        <v>242130.98</v>
      </c>
      <c r="M189" s="12">
        <f t="shared" si="22"/>
        <v>257264.16625000001</v>
      </c>
      <c r="N189" s="12">
        <f t="shared" si="23"/>
        <v>274415.1106666667</v>
      </c>
    </row>
    <row r="190" spans="1:14" ht="22.5" hidden="1" customHeight="1">
      <c r="A190" s="1">
        <v>111738</v>
      </c>
      <c r="B190" s="3" t="s">
        <v>254</v>
      </c>
      <c r="C190" s="1" t="s">
        <v>15</v>
      </c>
      <c r="D190" s="1" t="s">
        <v>54</v>
      </c>
      <c r="E190" s="2">
        <v>194166</v>
      </c>
      <c r="F190" s="1">
        <v>1</v>
      </c>
      <c r="G190" s="11">
        <f t="shared" si="17"/>
        <v>126207.90000000001</v>
      </c>
      <c r="H190" s="11">
        <f t="shared" si="18"/>
        <v>23979.501</v>
      </c>
      <c r="I190" s="13">
        <f t="shared" si="19"/>
        <v>150187.40100000001</v>
      </c>
      <c r="J190" s="11">
        <f t="shared" si="24"/>
        <v>166874.89000000001</v>
      </c>
      <c r="K190" s="12">
        <f t="shared" si="20"/>
        <v>170667.50113636366</v>
      </c>
      <c r="L190" s="12">
        <f t="shared" si="21"/>
        <v>176691.06000000003</v>
      </c>
      <c r="M190" s="12">
        <f t="shared" si="22"/>
        <v>187734.25125</v>
      </c>
      <c r="N190" s="12">
        <f t="shared" si="23"/>
        <v>200249.86800000002</v>
      </c>
    </row>
    <row r="191" spans="1:14" ht="22.5" hidden="1" customHeight="1">
      <c r="A191" s="1">
        <v>112794</v>
      </c>
      <c r="B191" s="3" t="s">
        <v>255</v>
      </c>
      <c r="C191" s="1" t="s">
        <v>22</v>
      </c>
      <c r="D191" s="1" t="s">
        <v>79</v>
      </c>
      <c r="E191" s="2">
        <v>233173</v>
      </c>
      <c r="F191" s="1">
        <v>1</v>
      </c>
      <c r="G191" s="11">
        <f t="shared" si="17"/>
        <v>151562.45000000001</v>
      </c>
      <c r="H191" s="11">
        <f t="shared" si="18"/>
        <v>28796.865500000004</v>
      </c>
      <c r="I191" s="13">
        <f t="shared" si="19"/>
        <v>180359.31550000003</v>
      </c>
      <c r="J191" s="11">
        <f t="shared" si="24"/>
        <v>200399.23944444448</v>
      </c>
      <c r="K191" s="12">
        <f t="shared" si="20"/>
        <v>204953.76761363639</v>
      </c>
      <c r="L191" s="12">
        <f t="shared" si="21"/>
        <v>212187.43000000002</v>
      </c>
      <c r="M191" s="12">
        <f t="shared" si="22"/>
        <v>225449.14437500003</v>
      </c>
      <c r="N191" s="12">
        <f t="shared" si="23"/>
        <v>240479.08733333336</v>
      </c>
    </row>
    <row r="192" spans="1:14" ht="22.5" customHeight="1">
      <c r="A192" s="1">
        <v>150242</v>
      </c>
      <c r="B192" s="3" t="s">
        <v>256</v>
      </c>
      <c r="C192" s="1" t="s">
        <v>15</v>
      </c>
      <c r="D192" s="1" t="s">
        <v>79</v>
      </c>
      <c r="E192" s="2">
        <v>197018</v>
      </c>
      <c r="F192" s="1" t="s">
        <v>5</v>
      </c>
      <c r="G192" s="11">
        <f t="shared" si="17"/>
        <v>128061.70000000001</v>
      </c>
      <c r="H192" s="11">
        <f t="shared" si="18"/>
        <v>24331.723000000002</v>
      </c>
      <c r="I192" s="13">
        <f t="shared" si="19"/>
        <v>152393.42300000001</v>
      </c>
      <c r="J192" s="11">
        <f t="shared" si="24"/>
        <v>169326.02555555556</v>
      </c>
      <c r="K192" s="12">
        <f t="shared" si="20"/>
        <v>173174.34431818183</v>
      </c>
      <c r="L192" s="12">
        <f t="shared" si="21"/>
        <v>179286.38</v>
      </c>
      <c r="M192" s="12">
        <f t="shared" si="22"/>
        <v>190491.77875</v>
      </c>
      <c r="N192" s="12">
        <f t="shared" si="23"/>
        <v>203191.23066666667</v>
      </c>
    </row>
    <row r="193" spans="1:14" ht="22.5" hidden="1" customHeight="1">
      <c r="A193" s="1">
        <v>150243</v>
      </c>
      <c r="B193" s="3" t="s">
        <v>257</v>
      </c>
      <c r="C193" s="1" t="e">
        <v>#N/A</v>
      </c>
      <c r="D193" s="1" t="s">
        <v>79</v>
      </c>
      <c r="E193" s="2">
        <v>198003</v>
      </c>
      <c r="F193" s="1">
        <v>1</v>
      </c>
      <c r="G193" s="11">
        <f t="shared" si="17"/>
        <v>128701.95000000001</v>
      </c>
      <c r="H193" s="11">
        <f t="shared" si="18"/>
        <v>24453.370500000001</v>
      </c>
      <c r="I193" s="13">
        <f t="shared" si="19"/>
        <v>153155.3205</v>
      </c>
      <c r="J193" s="11">
        <f t="shared" si="24"/>
        <v>170172.57833333334</v>
      </c>
      <c r="K193" s="12">
        <f t="shared" si="20"/>
        <v>174040.13693181818</v>
      </c>
      <c r="L193" s="12">
        <f t="shared" si="21"/>
        <v>180182.73</v>
      </c>
      <c r="M193" s="12">
        <f t="shared" si="22"/>
        <v>191444.15062499998</v>
      </c>
      <c r="N193" s="12">
        <f t="shared" si="23"/>
        <v>204207.09400000001</v>
      </c>
    </row>
    <row r="194" spans="1:14" ht="22.5" customHeight="1">
      <c r="A194" s="1">
        <v>150300</v>
      </c>
      <c r="B194" s="3" t="s">
        <v>258</v>
      </c>
      <c r="C194" s="1" t="s">
        <v>15</v>
      </c>
      <c r="D194" s="1" t="s">
        <v>23</v>
      </c>
      <c r="E194" s="2">
        <v>326197</v>
      </c>
      <c r="F194" s="1">
        <v>33</v>
      </c>
      <c r="G194" s="11">
        <f t="shared" si="17"/>
        <v>212028.05</v>
      </c>
      <c r="H194" s="11">
        <f t="shared" si="18"/>
        <v>40285.3295</v>
      </c>
      <c r="I194" s="13">
        <f t="shared" si="19"/>
        <v>252313.37949999998</v>
      </c>
      <c r="J194" s="11">
        <f t="shared" si="24"/>
        <v>280348.19944444444</v>
      </c>
      <c r="K194" s="12">
        <f t="shared" si="20"/>
        <v>286719.74943181814</v>
      </c>
      <c r="L194" s="12">
        <f t="shared" si="21"/>
        <v>296839.26999999996</v>
      </c>
      <c r="M194" s="12">
        <f t="shared" si="22"/>
        <v>315391.72437499993</v>
      </c>
      <c r="N194" s="12">
        <f t="shared" si="23"/>
        <v>336417.83933333331</v>
      </c>
    </row>
    <row r="195" spans="1:14" ht="22.5" hidden="1" customHeight="1">
      <c r="A195" s="1">
        <v>108964</v>
      </c>
      <c r="B195" s="3" t="s">
        <v>259</v>
      </c>
      <c r="C195" s="1" t="s">
        <v>39</v>
      </c>
      <c r="D195" s="1" t="s">
        <v>16</v>
      </c>
      <c r="E195" s="2">
        <v>338256</v>
      </c>
      <c r="F195" s="1">
        <v>67</v>
      </c>
      <c r="G195" s="11">
        <f t="shared" ref="G195:G258" si="25">E195-(E195*35%)</f>
        <v>219866.40000000002</v>
      </c>
      <c r="H195" s="11">
        <f t="shared" ref="H195:H258" si="26">G195*19%</f>
        <v>41774.616000000002</v>
      </c>
      <c r="I195" s="13">
        <f t="shared" ref="I195:I258" si="27">G195+H195</f>
        <v>261641.01600000003</v>
      </c>
      <c r="J195" s="11">
        <f t="shared" si="24"/>
        <v>290712.24000000005</v>
      </c>
      <c r="K195" s="12">
        <f t="shared" ref="K195:K258" si="28">I195/(1-12%)</f>
        <v>297319.33636363642</v>
      </c>
      <c r="L195" s="12">
        <f t="shared" ref="L195:L258" si="29">I195/(1-15%)</f>
        <v>307812.96000000002</v>
      </c>
      <c r="M195" s="12">
        <f t="shared" ref="M195:M258" si="30">I195/(1-20%)</f>
        <v>327051.27</v>
      </c>
      <c r="N195" s="12">
        <f t="shared" ref="N195:N258" si="31">I195/(1-25%)</f>
        <v>348854.68800000002</v>
      </c>
    </row>
    <row r="196" spans="1:14" ht="22.5" hidden="1" customHeight="1">
      <c r="A196" s="1">
        <v>151000</v>
      </c>
      <c r="B196" s="3" t="s">
        <v>260</v>
      </c>
      <c r="C196" s="1" t="s">
        <v>18</v>
      </c>
      <c r="D196" s="1" t="s">
        <v>29</v>
      </c>
      <c r="E196" s="2">
        <v>263278</v>
      </c>
      <c r="F196" s="1" t="s">
        <v>5</v>
      </c>
      <c r="G196" s="11">
        <f t="shared" si="25"/>
        <v>171130.7</v>
      </c>
      <c r="H196" s="11">
        <f t="shared" si="26"/>
        <v>32514.833000000002</v>
      </c>
      <c r="I196" s="13">
        <f t="shared" si="27"/>
        <v>203645.53300000002</v>
      </c>
      <c r="J196" s="11">
        <f t="shared" si="24"/>
        <v>226272.81444444446</v>
      </c>
      <c r="K196" s="12">
        <f t="shared" si="28"/>
        <v>231415.37840909095</v>
      </c>
      <c r="L196" s="12">
        <f t="shared" si="29"/>
        <v>239582.98000000004</v>
      </c>
      <c r="M196" s="12">
        <f t="shared" si="30"/>
        <v>254556.91625000001</v>
      </c>
      <c r="N196" s="12">
        <f t="shared" si="31"/>
        <v>271527.37733333337</v>
      </c>
    </row>
    <row r="197" spans="1:14" ht="22.5" customHeight="1">
      <c r="A197" s="1">
        <v>151001</v>
      </c>
      <c r="B197" s="3" t="s">
        <v>261</v>
      </c>
      <c r="C197" s="1" t="s">
        <v>15</v>
      </c>
      <c r="D197" s="1" t="s">
        <v>29</v>
      </c>
      <c r="E197" s="2">
        <v>258745</v>
      </c>
      <c r="F197" s="1" t="s">
        <v>5</v>
      </c>
      <c r="G197" s="11">
        <f t="shared" si="25"/>
        <v>168184.25</v>
      </c>
      <c r="H197" s="11">
        <f t="shared" si="26"/>
        <v>31955.0075</v>
      </c>
      <c r="I197" s="13">
        <f t="shared" si="27"/>
        <v>200139.25750000001</v>
      </c>
      <c r="J197" s="11">
        <f t="shared" si="24"/>
        <v>222376.95277777777</v>
      </c>
      <c r="K197" s="12">
        <f t="shared" si="28"/>
        <v>227430.97443181818</v>
      </c>
      <c r="L197" s="12">
        <f t="shared" si="29"/>
        <v>235457.95</v>
      </c>
      <c r="M197" s="12">
        <f t="shared" si="30"/>
        <v>250174.07187499999</v>
      </c>
      <c r="N197" s="12">
        <f t="shared" si="31"/>
        <v>266852.34333333332</v>
      </c>
    </row>
    <row r="198" spans="1:14" ht="22.5" hidden="1" customHeight="1">
      <c r="A198" s="1">
        <v>112730</v>
      </c>
      <c r="B198" s="3" t="s">
        <v>262</v>
      </c>
      <c r="C198" s="1" t="s">
        <v>22</v>
      </c>
      <c r="D198" s="1" t="s">
        <v>29</v>
      </c>
      <c r="E198" s="2">
        <v>278890</v>
      </c>
      <c r="F198" s="1" t="s">
        <v>5</v>
      </c>
      <c r="G198" s="11">
        <f t="shared" si="25"/>
        <v>181278.5</v>
      </c>
      <c r="H198" s="11">
        <f t="shared" si="26"/>
        <v>34442.915000000001</v>
      </c>
      <c r="I198" s="13">
        <f t="shared" si="27"/>
        <v>215721.41500000001</v>
      </c>
      <c r="J198" s="11">
        <f t="shared" si="24"/>
        <v>239690.4611111111</v>
      </c>
      <c r="K198" s="12">
        <f t="shared" si="28"/>
        <v>245137.97159090909</v>
      </c>
      <c r="L198" s="12">
        <f t="shared" si="29"/>
        <v>253789.90000000002</v>
      </c>
      <c r="M198" s="12">
        <f t="shared" si="30"/>
        <v>269651.76874999999</v>
      </c>
      <c r="N198" s="12">
        <f t="shared" si="31"/>
        <v>287628.55333333334</v>
      </c>
    </row>
    <row r="199" spans="1:14" ht="22.5" hidden="1" customHeight="1">
      <c r="A199" s="1">
        <v>151171</v>
      </c>
      <c r="B199" s="3" t="s">
        <v>263</v>
      </c>
      <c r="C199" s="1" t="s">
        <v>39</v>
      </c>
      <c r="D199" s="1" t="s">
        <v>29</v>
      </c>
      <c r="E199" s="2">
        <v>331895</v>
      </c>
      <c r="F199" s="1">
        <v>57</v>
      </c>
      <c r="G199" s="11">
        <f t="shared" si="25"/>
        <v>215731.75</v>
      </c>
      <c r="H199" s="11">
        <f t="shared" si="26"/>
        <v>40989.032500000001</v>
      </c>
      <c r="I199" s="13">
        <f t="shared" si="27"/>
        <v>256720.7825</v>
      </c>
      <c r="J199" s="11">
        <f t="shared" si="24"/>
        <v>285245.31388888886</v>
      </c>
      <c r="K199" s="12">
        <f t="shared" si="28"/>
        <v>291728.16193181818</v>
      </c>
      <c r="L199" s="12">
        <f t="shared" si="29"/>
        <v>302024.45</v>
      </c>
      <c r="M199" s="12">
        <f t="shared" si="30"/>
        <v>320900.97812499997</v>
      </c>
      <c r="N199" s="12">
        <f t="shared" si="31"/>
        <v>342294.37666666665</v>
      </c>
    </row>
    <row r="200" spans="1:14" ht="22.5" customHeight="1">
      <c r="A200" s="1">
        <v>150519</v>
      </c>
      <c r="B200" s="3" t="s">
        <v>264</v>
      </c>
      <c r="C200" s="1" t="s">
        <v>15</v>
      </c>
      <c r="D200" s="1" t="s">
        <v>29</v>
      </c>
      <c r="E200" s="2">
        <v>228369</v>
      </c>
      <c r="F200" s="1" t="s">
        <v>5</v>
      </c>
      <c r="G200" s="11">
        <f t="shared" si="25"/>
        <v>148439.85</v>
      </c>
      <c r="H200" s="11">
        <f t="shared" si="26"/>
        <v>28203.571500000002</v>
      </c>
      <c r="I200" s="13">
        <f t="shared" si="27"/>
        <v>176643.4215</v>
      </c>
      <c r="J200" s="11">
        <f t="shared" si="24"/>
        <v>196270.46833333332</v>
      </c>
      <c r="K200" s="12">
        <f t="shared" si="28"/>
        <v>200731.16079545455</v>
      </c>
      <c r="L200" s="12">
        <f t="shared" si="29"/>
        <v>207815.79</v>
      </c>
      <c r="M200" s="12">
        <f t="shared" si="30"/>
        <v>220804.27687499998</v>
      </c>
      <c r="N200" s="12">
        <f t="shared" si="31"/>
        <v>235524.56200000001</v>
      </c>
    </row>
    <row r="201" spans="1:14" ht="22.5" hidden="1" customHeight="1">
      <c r="A201" s="1">
        <v>151172</v>
      </c>
      <c r="B201" s="3" t="s">
        <v>265</v>
      </c>
      <c r="C201" s="1" t="s">
        <v>22</v>
      </c>
      <c r="D201" s="1" t="s">
        <v>29</v>
      </c>
      <c r="E201" s="2">
        <v>303477</v>
      </c>
      <c r="F201" s="1" t="s">
        <v>5</v>
      </c>
      <c r="G201" s="11">
        <f t="shared" si="25"/>
        <v>197260.05</v>
      </c>
      <c r="H201" s="11">
        <f t="shared" si="26"/>
        <v>37479.409500000002</v>
      </c>
      <c r="I201" s="13">
        <f t="shared" si="27"/>
        <v>234739.4595</v>
      </c>
      <c r="J201" s="11">
        <f t="shared" si="24"/>
        <v>260821.62166666664</v>
      </c>
      <c r="K201" s="12">
        <f t="shared" si="28"/>
        <v>266749.38579545455</v>
      </c>
      <c r="L201" s="12">
        <f t="shared" si="29"/>
        <v>276164.07</v>
      </c>
      <c r="M201" s="12">
        <f t="shared" si="30"/>
        <v>293424.32437499997</v>
      </c>
      <c r="N201" s="12">
        <f t="shared" si="31"/>
        <v>312985.946</v>
      </c>
    </row>
    <row r="202" spans="1:14" ht="22.5" hidden="1" customHeight="1">
      <c r="A202" s="1">
        <v>150017</v>
      </c>
      <c r="B202" s="3" t="s">
        <v>266</v>
      </c>
      <c r="C202" s="1" t="s">
        <v>22</v>
      </c>
      <c r="D202" s="1" t="s">
        <v>23</v>
      </c>
      <c r="E202" s="2">
        <v>318023</v>
      </c>
      <c r="F202" s="1">
        <v>3</v>
      </c>
      <c r="G202" s="11">
        <f t="shared" si="25"/>
        <v>206714.95</v>
      </c>
      <c r="H202" s="11">
        <f t="shared" si="26"/>
        <v>39275.840500000006</v>
      </c>
      <c r="I202" s="13">
        <f t="shared" si="27"/>
        <v>245990.7905</v>
      </c>
      <c r="J202" s="11">
        <f t="shared" si="24"/>
        <v>273323.10055555555</v>
      </c>
      <c r="K202" s="12">
        <f t="shared" si="28"/>
        <v>279534.98920454545</v>
      </c>
      <c r="L202" s="12">
        <f t="shared" si="29"/>
        <v>289400.93</v>
      </c>
      <c r="M202" s="12">
        <f t="shared" si="30"/>
        <v>307488.48812499997</v>
      </c>
      <c r="N202" s="12">
        <f t="shared" si="31"/>
        <v>327987.72066666669</v>
      </c>
    </row>
    <row r="203" spans="1:14" ht="22.5" hidden="1" customHeight="1">
      <c r="A203" s="1">
        <v>151252</v>
      </c>
      <c r="B203" s="3" t="s">
        <v>267</v>
      </c>
      <c r="C203" s="1" t="s">
        <v>18</v>
      </c>
      <c r="D203" s="1" t="s">
        <v>29</v>
      </c>
      <c r="E203" s="2">
        <v>298403</v>
      </c>
      <c r="F203" s="1">
        <v>71</v>
      </c>
      <c r="G203" s="11">
        <f t="shared" si="25"/>
        <v>193961.95</v>
      </c>
      <c r="H203" s="11">
        <f t="shared" si="26"/>
        <v>36852.770500000006</v>
      </c>
      <c r="I203" s="13">
        <f t="shared" si="27"/>
        <v>230814.72050000002</v>
      </c>
      <c r="J203" s="11">
        <f t="shared" si="24"/>
        <v>256460.80055555559</v>
      </c>
      <c r="K203" s="12">
        <f t="shared" si="28"/>
        <v>262289.45511363639</v>
      </c>
      <c r="L203" s="12">
        <f t="shared" si="29"/>
        <v>271546.73000000004</v>
      </c>
      <c r="M203" s="12">
        <f t="shared" si="30"/>
        <v>288518.40062500001</v>
      </c>
      <c r="N203" s="12">
        <f t="shared" si="31"/>
        <v>307752.96066666668</v>
      </c>
    </row>
    <row r="204" spans="1:14" ht="22.5" hidden="1" customHeight="1">
      <c r="A204" s="1" t="s">
        <v>268</v>
      </c>
      <c r="B204" s="3" t="s">
        <v>269</v>
      </c>
      <c r="C204" s="1" t="s">
        <v>18</v>
      </c>
      <c r="D204" s="1" t="s">
        <v>86</v>
      </c>
      <c r="E204" s="2">
        <v>556317</v>
      </c>
      <c r="F204" s="1">
        <v>3</v>
      </c>
      <c r="G204" s="11">
        <f t="shared" si="25"/>
        <v>361606.05000000005</v>
      </c>
      <c r="H204" s="11">
        <f t="shared" si="26"/>
        <v>68705.149500000014</v>
      </c>
      <c r="I204" s="13">
        <f t="shared" si="27"/>
        <v>430311.19950000005</v>
      </c>
      <c r="J204" s="11">
        <f t="shared" si="24"/>
        <v>478123.55500000005</v>
      </c>
      <c r="K204" s="12">
        <f t="shared" si="28"/>
        <v>488989.99943181826</v>
      </c>
      <c r="L204" s="12">
        <f t="shared" si="29"/>
        <v>506248.47000000009</v>
      </c>
      <c r="M204" s="12">
        <f t="shared" si="30"/>
        <v>537888.99937500001</v>
      </c>
      <c r="N204" s="12">
        <f t="shared" si="31"/>
        <v>573748.26600000006</v>
      </c>
    </row>
    <row r="205" spans="1:14" ht="22.5" hidden="1" customHeight="1">
      <c r="A205" s="1">
        <v>150532</v>
      </c>
      <c r="B205" s="3" t="s">
        <v>270</v>
      </c>
      <c r="C205" s="1" t="s">
        <v>15</v>
      </c>
      <c r="D205" s="1" t="s">
        <v>271</v>
      </c>
      <c r="E205" s="2">
        <v>212972</v>
      </c>
      <c r="F205" s="1">
        <v>1</v>
      </c>
      <c r="G205" s="11">
        <f t="shared" si="25"/>
        <v>138431.79999999999</v>
      </c>
      <c r="H205" s="11">
        <f t="shared" si="26"/>
        <v>26302.041999999998</v>
      </c>
      <c r="I205" s="13">
        <f t="shared" si="27"/>
        <v>164733.84199999998</v>
      </c>
      <c r="J205" s="11">
        <f t="shared" si="24"/>
        <v>183037.60222222219</v>
      </c>
      <c r="K205" s="12">
        <f t="shared" si="28"/>
        <v>187197.5477272727</v>
      </c>
      <c r="L205" s="12">
        <f t="shared" si="29"/>
        <v>193804.52</v>
      </c>
      <c r="M205" s="12">
        <f t="shared" si="30"/>
        <v>205917.30249999996</v>
      </c>
      <c r="N205" s="12">
        <f t="shared" si="31"/>
        <v>219645.12266666663</v>
      </c>
    </row>
    <row r="206" spans="1:14" ht="22.5" hidden="1" customHeight="1">
      <c r="A206" s="1" t="s">
        <v>272</v>
      </c>
      <c r="B206" s="3" t="s">
        <v>273</v>
      </c>
      <c r="C206" s="1" t="s">
        <v>22</v>
      </c>
      <c r="D206" s="1" t="s">
        <v>274</v>
      </c>
      <c r="E206" s="2">
        <v>488586</v>
      </c>
      <c r="F206" s="1">
        <v>1</v>
      </c>
      <c r="G206" s="11">
        <f t="shared" si="25"/>
        <v>317580.90000000002</v>
      </c>
      <c r="H206" s="11">
        <f t="shared" si="26"/>
        <v>60340.371000000006</v>
      </c>
      <c r="I206" s="13">
        <f t="shared" si="27"/>
        <v>377921.27100000001</v>
      </c>
      <c r="J206" s="11">
        <f t="shared" ref="J206:J269" si="32">I206/(1-10%)</f>
        <v>419912.52333333332</v>
      </c>
      <c r="K206" s="12">
        <f t="shared" si="28"/>
        <v>429455.98977272731</v>
      </c>
      <c r="L206" s="12">
        <f t="shared" si="29"/>
        <v>444613.26</v>
      </c>
      <c r="M206" s="12">
        <f t="shared" si="30"/>
        <v>472401.58875</v>
      </c>
      <c r="N206" s="12">
        <f t="shared" si="31"/>
        <v>503895.02799999999</v>
      </c>
    </row>
    <row r="207" spans="1:14" ht="22.5" hidden="1" customHeight="1">
      <c r="A207" s="1" t="s">
        <v>275</v>
      </c>
      <c r="B207" s="3" t="s">
        <v>276</v>
      </c>
      <c r="C207" s="1" t="s">
        <v>22</v>
      </c>
      <c r="D207" s="1" t="s">
        <v>277</v>
      </c>
      <c r="E207" s="2">
        <v>524789</v>
      </c>
      <c r="F207" s="1">
        <v>15</v>
      </c>
      <c r="G207" s="11">
        <f t="shared" si="25"/>
        <v>341112.85</v>
      </c>
      <c r="H207" s="11">
        <f t="shared" si="26"/>
        <v>64811.441499999994</v>
      </c>
      <c r="I207" s="13">
        <f t="shared" si="27"/>
        <v>405924.29149999999</v>
      </c>
      <c r="J207" s="11">
        <f t="shared" si="32"/>
        <v>451026.99055555556</v>
      </c>
      <c r="K207" s="12">
        <f t="shared" si="28"/>
        <v>461277.60397727269</v>
      </c>
      <c r="L207" s="12">
        <f t="shared" si="29"/>
        <v>477557.99</v>
      </c>
      <c r="M207" s="12">
        <f t="shared" si="30"/>
        <v>507405.36437499995</v>
      </c>
      <c r="N207" s="12">
        <f t="shared" si="31"/>
        <v>541232.38866666669</v>
      </c>
    </row>
    <row r="208" spans="1:14" ht="22.5" customHeight="1">
      <c r="A208" s="1" t="s">
        <v>278</v>
      </c>
      <c r="B208" s="3" t="s">
        <v>279</v>
      </c>
      <c r="C208" s="1" t="s">
        <v>15</v>
      </c>
      <c r="D208" s="1" t="s">
        <v>277</v>
      </c>
      <c r="E208" s="2">
        <v>535197</v>
      </c>
      <c r="F208" s="1">
        <v>27</v>
      </c>
      <c r="G208" s="11">
        <f t="shared" si="25"/>
        <v>347878.05000000005</v>
      </c>
      <c r="H208" s="11">
        <f t="shared" si="26"/>
        <v>66096.829500000007</v>
      </c>
      <c r="I208" s="13">
        <f t="shared" si="27"/>
        <v>413974.87950000004</v>
      </c>
      <c r="J208" s="11">
        <f t="shared" si="32"/>
        <v>459972.08833333338</v>
      </c>
      <c r="K208" s="12">
        <f t="shared" si="28"/>
        <v>470425.9994318182</v>
      </c>
      <c r="L208" s="12">
        <f t="shared" si="29"/>
        <v>487029.27000000008</v>
      </c>
      <c r="M208" s="12">
        <f t="shared" si="30"/>
        <v>517468.59937500005</v>
      </c>
      <c r="N208" s="12">
        <f t="shared" si="31"/>
        <v>551966.50600000005</v>
      </c>
    </row>
    <row r="209" spans="1:14" ht="22.5" hidden="1" customHeight="1">
      <c r="A209" s="1" t="s">
        <v>280</v>
      </c>
      <c r="B209" s="3" t="s">
        <v>281</v>
      </c>
      <c r="C209" s="1" t="s">
        <v>18</v>
      </c>
      <c r="D209" s="1" t="s">
        <v>84</v>
      </c>
      <c r="E209" s="2">
        <v>575714</v>
      </c>
      <c r="F209" s="1">
        <v>27</v>
      </c>
      <c r="G209" s="11">
        <f t="shared" si="25"/>
        <v>374214.1</v>
      </c>
      <c r="H209" s="11">
        <f t="shared" si="26"/>
        <v>71100.678999999989</v>
      </c>
      <c r="I209" s="13">
        <f t="shared" si="27"/>
        <v>445314.77899999998</v>
      </c>
      <c r="J209" s="11">
        <f t="shared" si="32"/>
        <v>494794.19888888887</v>
      </c>
      <c r="K209" s="12">
        <f t="shared" si="28"/>
        <v>506039.52159090905</v>
      </c>
      <c r="L209" s="12">
        <f t="shared" si="29"/>
        <v>523899.74</v>
      </c>
      <c r="M209" s="12">
        <f t="shared" si="30"/>
        <v>556643.47374999989</v>
      </c>
      <c r="N209" s="12">
        <f t="shared" si="31"/>
        <v>593753.0386666666</v>
      </c>
    </row>
    <row r="210" spans="1:14" ht="22.5" customHeight="1">
      <c r="A210" s="1" t="s">
        <v>282</v>
      </c>
      <c r="B210" s="3" t="s">
        <v>283</v>
      </c>
      <c r="C210" s="1" t="s">
        <v>15</v>
      </c>
      <c r="D210" s="1" t="s">
        <v>69</v>
      </c>
      <c r="E210" s="2">
        <v>703565</v>
      </c>
      <c r="F210" s="1">
        <v>63</v>
      </c>
      <c r="G210" s="11">
        <f t="shared" si="25"/>
        <v>457317.25</v>
      </c>
      <c r="H210" s="11">
        <f t="shared" si="26"/>
        <v>86890.277499999997</v>
      </c>
      <c r="I210" s="13">
        <f t="shared" si="27"/>
        <v>544207.52749999997</v>
      </c>
      <c r="J210" s="11">
        <f t="shared" si="32"/>
        <v>604675.03055555548</v>
      </c>
      <c r="K210" s="12">
        <f t="shared" si="28"/>
        <v>618417.64488636365</v>
      </c>
      <c r="L210" s="12">
        <f t="shared" si="29"/>
        <v>640244.15</v>
      </c>
      <c r="M210" s="12">
        <f t="shared" si="30"/>
        <v>680259.40937499993</v>
      </c>
      <c r="N210" s="12">
        <f t="shared" si="31"/>
        <v>725610.03666666662</v>
      </c>
    </row>
    <row r="211" spans="1:14" ht="22.5" hidden="1" customHeight="1">
      <c r="A211" s="1" t="s">
        <v>284</v>
      </c>
      <c r="B211" s="3" t="s">
        <v>285</v>
      </c>
      <c r="C211" s="1" t="s">
        <v>22</v>
      </c>
      <c r="D211" s="1" t="s">
        <v>84</v>
      </c>
      <c r="E211" s="2">
        <v>664277</v>
      </c>
      <c r="F211" s="1">
        <v>8</v>
      </c>
      <c r="G211" s="11">
        <f t="shared" si="25"/>
        <v>431780.05000000005</v>
      </c>
      <c r="H211" s="11">
        <f t="shared" si="26"/>
        <v>82038.209500000012</v>
      </c>
      <c r="I211" s="13">
        <f t="shared" si="27"/>
        <v>513818.25950000004</v>
      </c>
      <c r="J211" s="11">
        <f t="shared" si="32"/>
        <v>570909.17722222221</v>
      </c>
      <c r="K211" s="12">
        <f t="shared" si="28"/>
        <v>583884.38579545461</v>
      </c>
      <c r="L211" s="12">
        <f t="shared" si="29"/>
        <v>604492.07000000007</v>
      </c>
      <c r="M211" s="12">
        <f t="shared" si="30"/>
        <v>642272.82437499997</v>
      </c>
      <c r="N211" s="12">
        <f t="shared" si="31"/>
        <v>685091.01266666676</v>
      </c>
    </row>
    <row r="212" spans="1:14" ht="22.5" hidden="1" customHeight="1">
      <c r="A212" s="1">
        <v>151226</v>
      </c>
      <c r="B212" s="3" t="s">
        <v>286</v>
      </c>
      <c r="C212" s="1" t="s">
        <v>39</v>
      </c>
      <c r="D212" s="1" t="s">
        <v>92</v>
      </c>
      <c r="E212" s="2">
        <v>221755</v>
      </c>
      <c r="F212" s="1" t="s">
        <v>5</v>
      </c>
      <c r="G212" s="11">
        <f t="shared" si="25"/>
        <v>144140.75</v>
      </c>
      <c r="H212" s="11">
        <f t="shared" si="26"/>
        <v>27386.7425</v>
      </c>
      <c r="I212" s="13">
        <f t="shared" si="27"/>
        <v>171527.49249999999</v>
      </c>
      <c r="J212" s="11">
        <f t="shared" si="32"/>
        <v>190586.10277777776</v>
      </c>
      <c r="K212" s="12">
        <f t="shared" si="28"/>
        <v>194917.60511363635</v>
      </c>
      <c r="L212" s="12">
        <f t="shared" si="29"/>
        <v>201797.05</v>
      </c>
      <c r="M212" s="12">
        <f t="shared" si="30"/>
        <v>214409.36562499998</v>
      </c>
      <c r="N212" s="12">
        <f t="shared" si="31"/>
        <v>228703.32333333333</v>
      </c>
    </row>
    <row r="213" spans="1:14" ht="22.5" customHeight="1">
      <c r="A213" s="1">
        <v>151225</v>
      </c>
      <c r="B213" s="3" t="s">
        <v>287</v>
      </c>
      <c r="C213" s="1" t="s">
        <v>15</v>
      </c>
      <c r="D213" s="1" t="s">
        <v>92</v>
      </c>
      <c r="E213" s="2">
        <v>193013</v>
      </c>
      <c r="F213" s="1" t="s">
        <v>5</v>
      </c>
      <c r="G213" s="11">
        <f t="shared" si="25"/>
        <v>125458.45</v>
      </c>
      <c r="H213" s="11">
        <f t="shared" si="26"/>
        <v>23837.105500000001</v>
      </c>
      <c r="I213" s="13">
        <f t="shared" si="27"/>
        <v>149295.55549999999</v>
      </c>
      <c r="J213" s="11">
        <f t="shared" si="32"/>
        <v>165883.95055555555</v>
      </c>
      <c r="K213" s="12">
        <f t="shared" si="28"/>
        <v>169654.04034090906</v>
      </c>
      <c r="L213" s="12">
        <f t="shared" si="29"/>
        <v>175641.83</v>
      </c>
      <c r="M213" s="12">
        <f t="shared" si="30"/>
        <v>186619.44437499996</v>
      </c>
      <c r="N213" s="12">
        <f t="shared" si="31"/>
        <v>199060.74066666665</v>
      </c>
    </row>
    <row r="214" spans="1:14" ht="22.5" hidden="1" customHeight="1">
      <c r="A214" s="1">
        <v>151224</v>
      </c>
      <c r="B214" s="3" t="s">
        <v>288</v>
      </c>
      <c r="C214" s="1" t="s">
        <v>25</v>
      </c>
      <c r="D214" s="1" t="s">
        <v>29</v>
      </c>
      <c r="E214" s="2">
        <v>306910</v>
      </c>
      <c r="F214" s="1">
        <v>68</v>
      </c>
      <c r="G214" s="11">
        <f t="shared" si="25"/>
        <v>199491.5</v>
      </c>
      <c r="H214" s="11">
        <f t="shared" si="26"/>
        <v>37903.385000000002</v>
      </c>
      <c r="I214" s="13">
        <f t="shared" si="27"/>
        <v>237394.88500000001</v>
      </c>
      <c r="J214" s="11">
        <f t="shared" si="32"/>
        <v>263772.09444444446</v>
      </c>
      <c r="K214" s="12">
        <f t="shared" si="28"/>
        <v>269766.91477272729</v>
      </c>
      <c r="L214" s="12">
        <f t="shared" si="29"/>
        <v>279288.10000000003</v>
      </c>
      <c r="M214" s="12">
        <f t="shared" si="30"/>
        <v>296743.60625000001</v>
      </c>
      <c r="N214" s="12">
        <f t="shared" si="31"/>
        <v>316526.51333333337</v>
      </c>
    </row>
    <row r="215" spans="1:14" ht="22.5" hidden="1" customHeight="1">
      <c r="A215" s="1">
        <v>150479</v>
      </c>
      <c r="B215" s="3" t="s">
        <v>289</v>
      </c>
      <c r="C215" s="1" t="s">
        <v>15</v>
      </c>
      <c r="D215" s="1" t="s">
        <v>42</v>
      </c>
      <c r="E215" s="2">
        <v>392504</v>
      </c>
      <c r="F215" s="1">
        <v>1</v>
      </c>
      <c r="G215" s="11">
        <f t="shared" si="25"/>
        <v>255127.6</v>
      </c>
      <c r="H215" s="11">
        <f t="shared" si="26"/>
        <v>48474.243999999999</v>
      </c>
      <c r="I215" s="13">
        <f t="shared" si="27"/>
        <v>303601.84399999998</v>
      </c>
      <c r="J215" s="11">
        <f t="shared" si="32"/>
        <v>337335.38222222222</v>
      </c>
      <c r="K215" s="12">
        <f t="shared" si="28"/>
        <v>345002.09545454546</v>
      </c>
      <c r="L215" s="12">
        <f t="shared" si="29"/>
        <v>357178.64</v>
      </c>
      <c r="M215" s="12">
        <f t="shared" si="30"/>
        <v>379502.30499999993</v>
      </c>
      <c r="N215" s="12">
        <f t="shared" si="31"/>
        <v>404802.45866666664</v>
      </c>
    </row>
    <row r="216" spans="1:14" ht="22.5" hidden="1" customHeight="1">
      <c r="A216" s="1" t="s">
        <v>290</v>
      </c>
      <c r="B216" s="3" t="s">
        <v>291</v>
      </c>
      <c r="C216" s="1" t="s">
        <v>18</v>
      </c>
      <c r="D216" s="1" t="s">
        <v>69</v>
      </c>
      <c r="E216" s="2">
        <v>675000</v>
      </c>
      <c r="F216" s="1">
        <v>3</v>
      </c>
      <c r="G216" s="11">
        <f t="shared" si="25"/>
        <v>438750</v>
      </c>
      <c r="H216" s="11">
        <f t="shared" si="26"/>
        <v>83362.5</v>
      </c>
      <c r="I216" s="13">
        <f t="shared" si="27"/>
        <v>522112.5</v>
      </c>
      <c r="J216" s="11">
        <f t="shared" si="32"/>
        <v>580125</v>
      </c>
      <c r="K216" s="12">
        <f t="shared" si="28"/>
        <v>593309.65909090906</v>
      </c>
      <c r="L216" s="12">
        <f t="shared" si="29"/>
        <v>614250</v>
      </c>
      <c r="M216" s="12">
        <f t="shared" si="30"/>
        <v>652640.625</v>
      </c>
      <c r="N216" s="12">
        <f t="shared" si="31"/>
        <v>696150</v>
      </c>
    </row>
    <row r="217" spans="1:14" ht="22.5" hidden="1" customHeight="1">
      <c r="A217" s="1">
        <v>112858</v>
      </c>
      <c r="B217" s="3" t="s">
        <v>292</v>
      </c>
      <c r="C217" s="1" t="s">
        <v>18</v>
      </c>
      <c r="D217" s="1" t="s">
        <v>34</v>
      </c>
      <c r="E217" s="2">
        <v>283026</v>
      </c>
      <c r="F217" s="1">
        <v>1</v>
      </c>
      <c r="G217" s="11">
        <f t="shared" si="25"/>
        <v>183966.90000000002</v>
      </c>
      <c r="H217" s="11">
        <f t="shared" si="26"/>
        <v>34953.711000000003</v>
      </c>
      <c r="I217" s="13">
        <f t="shared" si="27"/>
        <v>218920.61100000003</v>
      </c>
      <c r="J217" s="11">
        <f t="shared" si="32"/>
        <v>243245.12333333335</v>
      </c>
      <c r="K217" s="12">
        <f t="shared" si="28"/>
        <v>248773.42159090913</v>
      </c>
      <c r="L217" s="12">
        <f t="shared" si="29"/>
        <v>257553.66000000003</v>
      </c>
      <c r="M217" s="12">
        <f t="shared" si="30"/>
        <v>273650.76375000004</v>
      </c>
      <c r="N217" s="12">
        <f t="shared" si="31"/>
        <v>291894.14800000004</v>
      </c>
    </row>
    <row r="218" spans="1:14" ht="22.5" hidden="1" customHeight="1">
      <c r="A218" s="1">
        <v>112251</v>
      </c>
      <c r="B218" s="3" t="s">
        <v>293</v>
      </c>
      <c r="C218" s="1" t="s">
        <v>22</v>
      </c>
      <c r="D218" s="1" t="s">
        <v>19</v>
      </c>
      <c r="E218" s="2">
        <v>262181</v>
      </c>
      <c r="F218" s="1">
        <v>1</v>
      </c>
      <c r="G218" s="11">
        <f t="shared" si="25"/>
        <v>170417.65000000002</v>
      </c>
      <c r="H218" s="11">
        <f t="shared" si="26"/>
        <v>32379.353500000005</v>
      </c>
      <c r="I218" s="13">
        <f t="shared" si="27"/>
        <v>202797.00350000002</v>
      </c>
      <c r="J218" s="11">
        <f t="shared" si="32"/>
        <v>225330.0038888889</v>
      </c>
      <c r="K218" s="12">
        <f t="shared" si="28"/>
        <v>230451.1403409091</v>
      </c>
      <c r="L218" s="12">
        <f t="shared" si="29"/>
        <v>238584.71000000002</v>
      </c>
      <c r="M218" s="12">
        <f t="shared" si="30"/>
        <v>253496.25437500002</v>
      </c>
      <c r="N218" s="12">
        <f t="shared" si="31"/>
        <v>270396.00466666667</v>
      </c>
    </row>
    <row r="219" spans="1:14" ht="22.5" hidden="1" customHeight="1">
      <c r="A219" s="1">
        <v>150979</v>
      </c>
      <c r="B219" s="3" t="s">
        <v>294</v>
      </c>
      <c r="C219" s="1" t="s">
        <v>22</v>
      </c>
      <c r="D219" s="1" t="s">
        <v>46</v>
      </c>
      <c r="E219" s="2">
        <v>291393</v>
      </c>
      <c r="F219" s="1">
        <v>2</v>
      </c>
      <c r="G219" s="11">
        <f t="shared" si="25"/>
        <v>189405.45</v>
      </c>
      <c r="H219" s="11">
        <f t="shared" si="26"/>
        <v>35987.035500000005</v>
      </c>
      <c r="I219" s="13">
        <f t="shared" si="27"/>
        <v>225392.48550000001</v>
      </c>
      <c r="J219" s="11">
        <f t="shared" si="32"/>
        <v>250436.095</v>
      </c>
      <c r="K219" s="12">
        <f t="shared" si="28"/>
        <v>256127.82443181818</v>
      </c>
      <c r="L219" s="12">
        <f t="shared" si="29"/>
        <v>265167.63</v>
      </c>
      <c r="M219" s="12">
        <f t="shared" si="30"/>
        <v>281740.606875</v>
      </c>
      <c r="N219" s="12">
        <f t="shared" si="31"/>
        <v>300523.31400000001</v>
      </c>
    </row>
    <row r="220" spans="1:14" ht="22.5" hidden="1" customHeight="1">
      <c r="A220" s="1">
        <v>150147</v>
      </c>
      <c r="B220" s="3" t="s">
        <v>295</v>
      </c>
      <c r="C220" s="1" t="s">
        <v>18</v>
      </c>
      <c r="D220" s="1" t="s">
        <v>42</v>
      </c>
      <c r="E220" s="2">
        <v>553800</v>
      </c>
      <c r="F220" s="1">
        <v>1</v>
      </c>
      <c r="G220" s="11">
        <f t="shared" si="25"/>
        <v>359970</v>
      </c>
      <c r="H220" s="11">
        <f t="shared" si="26"/>
        <v>68394.3</v>
      </c>
      <c r="I220" s="13">
        <f t="shared" si="27"/>
        <v>428364.3</v>
      </c>
      <c r="J220" s="11">
        <f t="shared" si="32"/>
        <v>475960.33333333331</v>
      </c>
      <c r="K220" s="12">
        <f t="shared" si="28"/>
        <v>486777.61363636365</v>
      </c>
      <c r="L220" s="12">
        <f t="shared" si="29"/>
        <v>503958</v>
      </c>
      <c r="M220" s="12">
        <f t="shared" si="30"/>
        <v>535455.375</v>
      </c>
      <c r="N220" s="12">
        <f t="shared" si="31"/>
        <v>571152.4</v>
      </c>
    </row>
    <row r="221" spans="1:14" ht="22.5" hidden="1" customHeight="1">
      <c r="A221" s="1">
        <v>112666</v>
      </c>
      <c r="B221" s="3" t="s">
        <v>296</v>
      </c>
      <c r="C221" s="1" t="s">
        <v>15</v>
      </c>
      <c r="D221" s="1" t="s">
        <v>42</v>
      </c>
      <c r="E221" s="2">
        <v>549027</v>
      </c>
      <c r="F221" s="1">
        <v>1</v>
      </c>
      <c r="G221" s="11">
        <f t="shared" si="25"/>
        <v>356867.55000000005</v>
      </c>
      <c r="H221" s="11">
        <f t="shared" si="26"/>
        <v>67804.834500000012</v>
      </c>
      <c r="I221" s="13">
        <f t="shared" si="27"/>
        <v>424672.38450000004</v>
      </c>
      <c r="J221" s="11">
        <f t="shared" si="32"/>
        <v>471858.20500000002</v>
      </c>
      <c r="K221" s="12">
        <f t="shared" si="28"/>
        <v>482582.25511363643</v>
      </c>
      <c r="L221" s="12">
        <f t="shared" si="29"/>
        <v>499614.57000000007</v>
      </c>
      <c r="M221" s="12">
        <f t="shared" si="30"/>
        <v>530840.48062499997</v>
      </c>
      <c r="N221" s="12">
        <f t="shared" si="31"/>
        <v>566229.84600000002</v>
      </c>
    </row>
    <row r="222" spans="1:14" ht="22.5" hidden="1" customHeight="1">
      <c r="A222" s="1">
        <v>151048</v>
      </c>
      <c r="B222" s="3" t="s">
        <v>297</v>
      </c>
      <c r="C222" s="1" t="s">
        <v>15</v>
      </c>
      <c r="D222" s="1" t="s">
        <v>19</v>
      </c>
      <c r="E222" s="2">
        <v>223517</v>
      </c>
      <c r="F222" s="1">
        <v>1</v>
      </c>
      <c r="G222" s="11">
        <f t="shared" si="25"/>
        <v>145286.04999999999</v>
      </c>
      <c r="H222" s="11">
        <f t="shared" si="26"/>
        <v>27604.349499999997</v>
      </c>
      <c r="I222" s="13">
        <f t="shared" si="27"/>
        <v>172890.3995</v>
      </c>
      <c r="J222" s="11">
        <f t="shared" si="32"/>
        <v>192100.4438888889</v>
      </c>
      <c r="K222" s="12">
        <f t="shared" si="28"/>
        <v>196466.36306818182</v>
      </c>
      <c r="L222" s="12">
        <f t="shared" si="29"/>
        <v>203400.47</v>
      </c>
      <c r="M222" s="12">
        <f t="shared" si="30"/>
        <v>216112.99937499998</v>
      </c>
      <c r="N222" s="12">
        <f t="shared" si="31"/>
        <v>230520.53266666667</v>
      </c>
    </row>
    <row r="223" spans="1:14" ht="22.5" hidden="1" customHeight="1">
      <c r="A223" s="1">
        <v>150954</v>
      </c>
      <c r="B223" s="3" t="s">
        <v>298</v>
      </c>
      <c r="C223" s="1" t="s">
        <v>15</v>
      </c>
      <c r="D223" s="1" t="s">
        <v>23</v>
      </c>
      <c r="E223" s="2">
        <v>391085</v>
      </c>
      <c r="F223" s="1">
        <v>40</v>
      </c>
      <c r="G223" s="11">
        <f t="shared" si="25"/>
        <v>254205.25</v>
      </c>
      <c r="H223" s="11">
        <f t="shared" si="26"/>
        <v>48298.997499999998</v>
      </c>
      <c r="I223" s="13">
        <f t="shared" si="27"/>
        <v>302504.2475</v>
      </c>
      <c r="J223" s="11">
        <f t="shared" si="32"/>
        <v>336115.83055555553</v>
      </c>
      <c r="K223" s="12">
        <f t="shared" si="28"/>
        <v>343754.82670454547</v>
      </c>
      <c r="L223" s="12">
        <f t="shared" si="29"/>
        <v>355887.35000000003</v>
      </c>
      <c r="M223" s="12">
        <f t="shared" si="30"/>
        <v>378130.30937499995</v>
      </c>
      <c r="N223" s="12">
        <f t="shared" si="31"/>
        <v>403338.99666666664</v>
      </c>
    </row>
    <row r="224" spans="1:14" ht="22.5" hidden="1" customHeight="1">
      <c r="A224" s="1">
        <v>150221</v>
      </c>
      <c r="B224" s="3" t="s">
        <v>299</v>
      </c>
      <c r="C224" s="1" t="s">
        <v>15</v>
      </c>
      <c r="D224" s="1" t="s">
        <v>16</v>
      </c>
      <c r="E224" s="2">
        <v>352158</v>
      </c>
      <c r="F224" s="1">
        <v>21</v>
      </c>
      <c r="G224" s="11">
        <f t="shared" si="25"/>
        <v>228902.7</v>
      </c>
      <c r="H224" s="11">
        <f t="shared" si="26"/>
        <v>43491.513000000006</v>
      </c>
      <c r="I224" s="13">
        <f t="shared" si="27"/>
        <v>272394.21299999999</v>
      </c>
      <c r="J224" s="11">
        <f t="shared" si="32"/>
        <v>302660.23666666663</v>
      </c>
      <c r="K224" s="12">
        <f t="shared" si="28"/>
        <v>309538.87840909092</v>
      </c>
      <c r="L224" s="12">
        <f t="shared" si="29"/>
        <v>320463.77999999997</v>
      </c>
      <c r="M224" s="12">
        <f t="shared" si="30"/>
        <v>340492.76624999999</v>
      </c>
      <c r="N224" s="12">
        <f t="shared" si="31"/>
        <v>363192.28399999999</v>
      </c>
    </row>
    <row r="225" spans="1:14" ht="22.5" hidden="1" customHeight="1">
      <c r="A225" s="1">
        <v>111314</v>
      </c>
      <c r="B225" s="3" t="s">
        <v>300</v>
      </c>
      <c r="C225" s="1" t="s">
        <v>15</v>
      </c>
      <c r="D225" s="1" t="s">
        <v>34</v>
      </c>
      <c r="E225" s="2">
        <v>246656</v>
      </c>
      <c r="F225" s="1">
        <v>1</v>
      </c>
      <c r="G225" s="11">
        <f t="shared" si="25"/>
        <v>160326.40000000002</v>
      </c>
      <c r="H225" s="11">
        <f t="shared" si="26"/>
        <v>30462.016000000003</v>
      </c>
      <c r="I225" s="13">
        <f t="shared" si="27"/>
        <v>190788.41600000003</v>
      </c>
      <c r="J225" s="11">
        <f t="shared" si="32"/>
        <v>211987.12888888892</v>
      </c>
      <c r="K225" s="12">
        <f t="shared" si="28"/>
        <v>216805.01818181822</v>
      </c>
      <c r="L225" s="12">
        <f t="shared" si="29"/>
        <v>224456.96000000005</v>
      </c>
      <c r="M225" s="12">
        <f t="shared" si="30"/>
        <v>238485.52000000002</v>
      </c>
      <c r="N225" s="12">
        <f t="shared" si="31"/>
        <v>254384.55466666669</v>
      </c>
    </row>
    <row r="226" spans="1:14" ht="22.5" hidden="1" customHeight="1">
      <c r="A226" s="1">
        <v>112661</v>
      </c>
      <c r="B226" s="3" t="s">
        <v>301</v>
      </c>
      <c r="C226" s="1" t="s">
        <v>15</v>
      </c>
      <c r="D226" s="1" t="s">
        <v>29</v>
      </c>
      <c r="E226" s="2">
        <v>280819</v>
      </c>
      <c r="F226" s="1" t="s">
        <v>5</v>
      </c>
      <c r="G226" s="11">
        <f t="shared" si="25"/>
        <v>182532.35</v>
      </c>
      <c r="H226" s="11">
        <f t="shared" si="26"/>
        <v>34681.146500000003</v>
      </c>
      <c r="I226" s="13">
        <f t="shared" si="27"/>
        <v>217213.49650000001</v>
      </c>
      <c r="J226" s="11">
        <f t="shared" si="32"/>
        <v>241348.32944444445</v>
      </c>
      <c r="K226" s="12">
        <f t="shared" si="28"/>
        <v>246833.51875000002</v>
      </c>
      <c r="L226" s="12">
        <f t="shared" si="29"/>
        <v>255545.29</v>
      </c>
      <c r="M226" s="12">
        <f t="shared" si="30"/>
        <v>271516.87062499998</v>
      </c>
      <c r="N226" s="12">
        <f t="shared" si="31"/>
        <v>289617.99533333333</v>
      </c>
    </row>
    <row r="227" spans="1:14" ht="22.5" hidden="1" customHeight="1">
      <c r="A227" s="1">
        <v>151253</v>
      </c>
      <c r="B227" s="3" t="s">
        <v>302</v>
      </c>
      <c r="C227" s="1" t="s">
        <v>18</v>
      </c>
      <c r="D227" s="1" t="s">
        <v>303</v>
      </c>
      <c r="E227" s="2">
        <v>321301</v>
      </c>
      <c r="F227" s="1">
        <v>60</v>
      </c>
      <c r="G227" s="11">
        <f t="shared" si="25"/>
        <v>208845.65000000002</v>
      </c>
      <c r="H227" s="11">
        <f t="shared" si="26"/>
        <v>39680.673500000004</v>
      </c>
      <c r="I227" s="13">
        <f t="shared" si="27"/>
        <v>248526.32350000003</v>
      </c>
      <c r="J227" s="11">
        <f t="shared" si="32"/>
        <v>276140.35944444448</v>
      </c>
      <c r="K227" s="12">
        <f t="shared" si="28"/>
        <v>282416.27670454548</v>
      </c>
      <c r="L227" s="12">
        <f t="shared" si="29"/>
        <v>292383.91000000003</v>
      </c>
      <c r="M227" s="12">
        <f t="shared" si="30"/>
        <v>310657.90437500004</v>
      </c>
      <c r="N227" s="12">
        <f t="shared" si="31"/>
        <v>331368.43133333337</v>
      </c>
    </row>
    <row r="228" spans="1:14" ht="22.5" hidden="1" customHeight="1">
      <c r="A228" s="1">
        <v>108164</v>
      </c>
      <c r="B228" s="3" t="s">
        <v>304</v>
      </c>
      <c r="C228" s="1" t="s">
        <v>39</v>
      </c>
      <c r="D228" s="1" t="s">
        <v>23</v>
      </c>
      <c r="E228" s="2">
        <v>368894</v>
      </c>
      <c r="F228" s="1" t="s">
        <v>5</v>
      </c>
      <c r="G228" s="11">
        <f t="shared" si="25"/>
        <v>239781.1</v>
      </c>
      <c r="H228" s="11">
        <f t="shared" si="26"/>
        <v>45558.409</v>
      </c>
      <c r="I228" s="13">
        <f t="shared" si="27"/>
        <v>285339.50900000002</v>
      </c>
      <c r="J228" s="11">
        <f t="shared" si="32"/>
        <v>317043.89888888889</v>
      </c>
      <c r="K228" s="12">
        <f t="shared" si="28"/>
        <v>324249.44204545458</v>
      </c>
      <c r="L228" s="12">
        <f t="shared" si="29"/>
        <v>335693.54000000004</v>
      </c>
      <c r="M228" s="12">
        <f t="shared" si="30"/>
        <v>356674.38624999998</v>
      </c>
      <c r="N228" s="12">
        <f t="shared" si="31"/>
        <v>380452.67866666667</v>
      </c>
    </row>
    <row r="229" spans="1:14" ht="22.5" hidden="1" customHeight="1">
      <c r="A229" s="1">
        <v>150302</v>
      </c>
      <c r="B229" s="3" t="s">
        <v>305</v>
      </c>
      <c r="C229" s="1" t="s">
        <v>15</v>
      </c>
      <c r="D229" s="1" t="s">
        <v>23</v>
      </c>
      <c r="E229" s="2">
        <v>387947</v>
      </c>
      <c r="F229" s="1">
        <v>19</v>
      </c>
      <c r="G229" s="11">
        <f t="shared" si="25"/>
        <v>252165.55000000002</v>
      </c>
      <c r="H229" s="11">
        <f t="shared" si="26"/>
        <v>47911.454500000007</v>
      </c>
      <c r="I229" s="13">
        <f t="shared" si="27"/>
        <v>300077.00450000004</v>
      </c>
      <c r="J229" s="11">
        <f t="shared" si="32"/>
        <v>333418.89388888894</v>
      </c>
      <c r="K229" s="12">
        <f t="shared" si="28"/>
        <v>340996.59602272732</v>
      </c>
      <c r="L229" s="12">
        <f t="shared" si="29"/>
        <v>353031.77000000008</v>
      </c>
      <c r="M229" s="12">
        <f t="shared" si="30"/>
        <v>375096.25562500005</v>
      </c>
      <c r="N229" s="12">
        <f t="shared" si="31"/>
        <v>400102.67266666674</v>
      </c>
    </row>
    <row r="230" spans="1:14" ht="22.5" hidden="1" customHeight="1">
      <c r="A230" s="1">
        <v>112582</v>
      </c>
      <c r="B230" s="3" t="s">
        <v>306</v>
      </c>
      <c r="C230" s="1" t="s">
        <v>22</v>
      </c>
      <c r="D230" s="1" t="s">
        <v>23</v>
      </c>
      <c r="E230" s="2">
        <v>367602</v>
      </c>
      <c r="F230" s="1">
        <v>1</v>
      </c>
      <c r="G230" s="11">
        <f t="shared" si="25"/>
        <v>238941.3</v>
      </c>
      <c r="H230" s="11">
        <f t="shared" si="26"/>
        <v>45398.847000000002</v>
      </c>
      <c r="I230" s="13">
        <f t="shared" si="27"/>
        <v>284340.147</v>
      </c>
      <c r="J230" s="11">
        <f t="shared" si="32"/>
        <v>315933.49666666664</v>
      </c>
      <c r="K230" s="12">
        <f t="shared" si="28"/>
        <v>323113.80340909091</v>
      </c>
      <c r="L230" s="12">
        <f t="shared" si="29"/>
        <v>334517.82</v>
      </c>
      <c r="M230" s="12">
        <f t="shared" si="30"/>
        <v>355425.18374999997</v>
      </c>
      <c r="N230" s="12">
        <f t="shared" si="31"/>
        <v>379120.196</v>
      </c>
    </row>
    <row r="231" spans="1:14" ht="22.5" hidden="1" customHeight="1">
      <c r="A231" s="1">
        <v>109301</v>
      </c>
      <c r="B231" s="3" t="s">
        <v>307</v>
      </c>
      <c r="C231" s="1" t="s">
        <v>15</v>
      </c>
      <c r="D231" s="1" t="s">
        <v>23</v>
      </c>
      <c r="E231" s="2">
        <v>374121</v>
      </c>
      <c r="F231" s="1">
        <v>28</v>
      </c>
      <c r="G231" s="11">
        <f t="shared" si="25"/>
        <v>243178.65000000002</v>
      </c>
      <c r="H231" s="11">
        <f t="shared" si="26"/>
        <v>46203.943500000008</v>
      </c>
      <c r="I231" s="13">
        <f t="shared" si="27"/>
        <v>289382.59350000002</v>
      </c>
      <c r="J231" s="11">
        <f t="shared" si="32"/>
        <v>321536.21500000003</v>
      </c>
      <c r="K231" s="12">
        <f t="shared" si="28"/>
        <v>328843.85625000001</v>
      </c>
      <c r="L231" s="12">
        <f t="shared" si="29"/>
        <v>340450.11000000004</v>
      </c>
      <c r="M231" s="12">
        <f t="shared" si="30"/>
        <v>361728.24187500001</v>
      </c>
      <c r="N231" s="12">
        <f t="shared" si="31"/>
        <v>385843.45800000004</v>
      </c>
    </row>
    <row r="232" spans="1:14" ht="22.5" hidden="1" customHeight="1">
      <c r="A232" s="1" t="s">
        <v>308</v>
      </c>
      <c r="B232" s="3" t="s">
        <v>309</v>
      </c>
      <c r="C232" s="1" t="s">
        <v>15</v>
      </c>
      <c r="D232" s="1" t="s">
        <v>69</v>
      </c>
      <c r="E232" s="2">
        <v>755795</v>
      </c>
      <c r="F232" s="1">
        <v>2</v>
      </c>
      <c r="G232" s="11">
        <f t="shared" si="25"/>
        <v>491266.75</v>
      </c>
      <c r="H232" s="11">
        <f t="shared" si="26"/>
        <v>93340.682499999995</v>
      </c>
      <c r="I232" s="13">
        <f t="shared" si="27"/>
        <v>584607.4325</v>
      </c>
      <c r="J232" s="11">
        <f t="shared" si="32"/>
        <v>649563.81388888892</v>
      </c>
      <c r="K232" s="12">
        <f t="shared" si="28"/>
        <v>664326.62784090906</v>
      </c>
      <c r="L232" s="12">
        <f t="shared" si="29"/>
        <v>687773.45000000007</v>
      </c>
      <c r="M232" s="12">
        <f t="shared" si="30"/>
        <v>730759.29062499991</v>
      </c>
      <c r="N232" s="12">
        <f t="shared" si="31"/>
        <v>779476.57666666666</v>
      </c>
    </row>
    <row r="233" spans="1:14" ht="22.5" hidden="1" customHeight="1">
      <c r="A233" s="1" t="s">
        <v>310</v>
      </c>
      <c r="B233" s="3" t="s">
        <v>311</v>
      </c>
      <c r="C233" s="1" t="s">
        <v>15</v>
      </c>
      <c r="D233" s="1" t="s">
        <v>84</v>
      </c>
      <c r="E233" s="2">
        <v>525027</v>
      </c>
      <c r="F233" s="1">
        <v>20</v>
      </c>
      <c r="G233" s="11">
        <f t="shared" si="25"/>
        <v>341267.55000000005</v>
      </c>
      <c r="H233" s="11">
        <f t="shared" si="26"/>
        <v>64840.834500000012</v>
      </c>
      <c r="I233" s="13">
        <f t="shared" si="27"/>
        <v>406108.38450000004</v>
      </c>
      <c r="J233" s="11">
        <f t="shared" si="32"/>
        <v>451231.53833333339</v>
      </c>
      <c r="K233" s="12">
        <f t="shared" si="28"/>
        <v>461486.80056818185</v>
      </c>
      <c r="L233" s="12">
        <f t="shared" si="29"/>
        <v>477774.57000000007</v>
      </c>
      <c r="M233" s="12">
        <f t="shared" si="30"/>
        <v>507635.48062500003</v>
      </c>
      <c r="N233" s="12">
        <f t="shared" si="31"/>
        <v>541477.84600000002</v>
      </c>
    </row>
    <row r="234" spans="1:14" ht="22.5" hidden="1" customHeight="1">
      <c r="A234" s="1" t="s">
        <v>312</v>
      </c>
      <c r="B234" s="3" t="s">
        <v>313</v>
      </c>
      <c r="C234" s="1" t="s">
        <v>15</v>
      </c>
      <c r="D234" s="1" t="s">
        <v>84</v>
      </c>
      <c r="E234" s="2">
        <v>550000</v>
      </c>
      <c r="F234" s="1">
        <v>10</v>
      </c>
      <c r="G234" s="11">
        <f t="shared" si="25"/>
        <v>357500</v>
      </c>
      <c r="H234" s="11">
        <f t="shared" si="26"/>
        <v>67925</v>
      </c>
      <c r="I234" s="13">
        <f t="shared" si="27"/>
        <v>425425</v>
      </c>
      <c r="J234" s="11">
        <f t="shared" si="32"/>
        <v>472694.44444444444</v>
      </c>
      <c r="K234" s="12">
        <f t="shared" si="28"/>
        <v>483437.5</v>
      </c>
      <c r="L234" s="12">
        <f t="shared" si="29"/>
        <v>500500</v>
      </c>
      <c r="M234" s="12">
        <f t="shared" si="30"/>
        <v>531781.25</v>
      </c>
      <c r="N234" s="12">
        <f t="shared" si="31"/>
        <v>567233.33333333337</v>
      </c>
    </row>
    <row r="235" spans="1:14" ht="22.5" hidden="1" customHeight="1">
      <c r="A235" s="1" t="s">
        <v>314</v>
      </c>
      <c r="B235" s="3" t="s">
        <v>315</v>
      </c>
      <c r="C235" s="1" t="s">
        <v>22</v>
      </c>
      <c r="D235" s="1" t="s">
        <v>69</v>
      </c>
      <c r="E235" s="2">
        <v>498189</v>
      </c>
      <c r="F235" s="1">
        <v>1</v>
      </c>
      <c r="G235" s="11">
        <f t="shared" si="25"/>
        <v>323822.84999999998</v>
      </c>
      <c r="H235" s="11">
        <f t="shared" si="26"/>
        <v>61526.341499999995</v>
      </c>
      <c r="I235" s="13">
        <f t="shared" si="27"/>
        <v>385349.19149999996</v>
      </c>
      <c r="J235" s="11">
        <f t="shared" si="32"/>
        <v>428165.76833333325</v>
      </c>
      <c r="K235" s="12">
        <f t="shared" si="28"/>
        <v>437896.80852272722</v>
      </c>
      <c r="L235" s="12">
        <f t="shared" si="29"/>
        <v>453351.98999999993</v>
      </c>
      <c r="M235" s="12">
        <f t="shared" si="30"/>
        <v>481686.48937499995</v>
      </c>
      <c r="N235" s="12">
        <f t="shared" si="31"/>
        <v>513798.92199999996</v>
      </c>
    </row>
    <row r="236" spans="1:14" ht="22.5" hidden="1" customHeight="1">
      <c r="A236" s="1" t="s">
        <v>316</v>
      </c>
      <c r="B236" s="3" t="s">
        <v>317</v>
      </c>
      <c r="C236" s="1" t="s">
        <v>15</v>
      </c>
      <c r="D236" s="1" t="s">
        <v>69</v>
      </c>
      <c r="E236" s="2">
        <v>601220</v>
      </c>
      <c r="F236" s="1">
        <v>1</v>
      </c>
      <c r="G236" s="11">
        <f t="shared" si="25"/>
        <v>390793</v>
      </c>
      <c r="H236" s="11">
        <f t="shared" si="26"/>
        <v>74250.67</v>
      </c>
      <c r="I236" s="13">
        <f t="shared" si="27"/>
        <v>465043.67</v>
      </c>
      <c r="J236" s="11">
        <f t="shared" si="32"/>
        <v>516715.18888888886</v>
      </c>
      <c r="K236" s="12">
        <f t="shared" si="28"/>
        <v>528458.71590909094</v>
      </c>
      <c r="L236" s="12">
        <f t="shared" si="29"/>
        <v>547110.19999999995</v>
      </c>
      <c r="M236" s="12">
        <f t="shared" si="30"/>
        <v>581304.58749999991</v>
      </c>
      <c r="N236" s="12">
        <f t="shared" si="31"/>
        <v>620058.22666666668</v>
      </c>
    </row>
    <row r="237" spans="1:14" ht="22.5" hidden="1" customHeight="1">
      <c r="A237" s="1" t="s">
        <v>318</v>
      </c>
      <c r="B237" s="3" t="s">
        <v>319</v>
      </c>
      <c r="C237" s="1" t="s">
        <v>18</v>
      </c>
      <c r="D237" s="1" t="s">
        <v>84</v>
      </c>
      <c r="E237" s="2">
        <v>812084</v>
      </c>
      <c r="F237" s="1">
        <v>8</v>
      </c>
      <c r="G237" s="11">
        <f t="shared" si="25"/>
        <v>527854.60000000009</v>
      </c>
      <c r="H237" s="11">
        <f t="shared" si="26"/>
        <v>100292.37400000003</v>
      </c>
      <c r="I237" s="13">
        <f t="shared" si="27"/>
        <v>628146.97400000016</v>
      </c>
      <c r="J237" s="11">
        <f t="shared" si="32"/>
        <v>697941.08222222235</v>
      </c>
      <c r="K237" s="12">
        <f t="shared" si="28"/>
        <v>713803.37954545475</v>
      </c>
      <c r="L237" s="12">
        <f t="shared" si="29"/>
        <v>738996.44000000018</v>
      </c>
      <c r="M237" s="12">
        <f t="shared" si="30"/>
        <v>785183.71750000014</v>
      </c>
      <c r="N237" s="12">
        <f t="shared" si="31"/>
        <v>837529.29866666684</v>
      </c>
    </row>
    <row r="238" spans="1:14" ht="22.5" hidden="1" customHeight="1">
      <c r="A238" s="1">
        <v>151254</v>
      </c>
      <c r="B238" s="3" t="s">
        <v>320</v>
      </c>
      <c r="C238" s="1" t="s">
        <v>25</v>
      </c>
      <c r="D238" s="1" t="s">
        <v>29</v>
      </c>
      <c r="E238" s="2">
        <v>458259</v>
      </c>
      <c r="F238" s="1" t="s">
        <v>5</v>
      </c>
      <c r="G238" s="11">
        <f t="shared" si="25"/>
        <v>297868.34999999998</v>
      </c>
      <c r="H238" s="11">
        <f t="shared" si="26"/>
        <v>56594.986499999999</v>
      </c>
      <c r="I238" s="13">
        <f t="shared" si="27"/>
        <v>354463.33649999998</v>
      </c>
      <c r="J238" s="11">
        <f t="shared" si="32"/>
        <v>393848.15166666661</v>
      </c>
      <c r="K238" s="12">
        <f t="shared" si="28"/>
        <v>402799.24602272722</v>
      </c>
      <c r="L238" s="12">
        <f t="shared" si="29"/>
        <v>417015.69</v>
      </c>
      <c r="M238" s="12">
        <f t="shared" si="30"/>
        <v>443079.17062499997</v>
      </c>
      <c r="N238" s="12">
        <f t="shared" si="31"/>
        <v>472617.78199999995</v>
      </c>
    </row>
    <row r="239" spans="1:14" ht="22.5" hidden="1" customHeight="1">
      <c r="A239" s="1" t="s">
        <v>321</v>
      </c>
      <c r="B239" s="3" t="s">
        <v>322</v>
      </c>
      <c r="C239" s="1" t="s">
        <v>25</v>
      </c>
      <c r="D239" s="1" t="s">
        <v>69</v>
      </c>
      <c r="E239" s="2">
        <v>952514</v>
      </c>
      <c r="F239" s="1">
        <v>4</v>
      </c>
      <c r="G239" s="11">
        <f t="shared" si="25"/>
        <v>619134.10000000009</v>
      </c>
      <c r="H239" s="11">
        <f t="shared" si="26"/>
        <v>117635.47900000002</v>
      </c>
      <c r="I239" s="13">
        <f t="shared" si="27"/>
        <v>736769.57900000014</v>
      </c>
      <c r="J239" s="11">
        <f t="shared" si="32"/>
        <v>818632.86555555568</v>
      </c>
      <c r="K239" s="12">
        <f t="shared" si="28"/>
        <v>837238.15795454558</v>
      </c>
      <c r="L239" s="12">
        <f t="shared" si="29"/>
        <v>866787.74000000022</v>
      </c>
      <c r="M239" s="12">
        <f t="shared" si="30"/>
        <v>920961.97375000012</v>
      </c>
      <c r="N239" s="12">
        <f t="shared" si="31"/>
        <v>982359.43866666686</v>
      </c>
    </row>
    <row r="240" spans="1:14" ht="22.5" hidden="1" customHeight="1">
      <c r="A240" s="1" t="s">
        <v>323</v>
      </c>
      <c r="B240" s="3" t="s">
        <v>324</v>
      </c>
      <c r="C240" s="1" t="s">
        <v>25</v>
      </c>
      <c r="D240" s="1" t="s">
        <v>84</v>
      </c>
      <c r="E240" s="2">
        <v>877440</v>
      </c>
      <c r="F240" s="1">
        <v>8</v>
      </c>
      <c r="G240" s="11">
        <f t="shared" si="25"/>
        <v>570336</v>
      </c>
      <c r="H240" s="11">
        <f t="shared" si="26"/>
        <v>108363.84</v>
      </c>
      <c r="I240" s="13">
        <f t="shared" si="27"/>
        <v>678699.84</v>
      </c>
      <c r="J240" s="11">
        <f t="shared" si="32"/>
        <v>754110.93333333323</v>
      </c>
      <c r="K240" s="12">
        <f t="shared" si="28"/>
        <v>771249.81818181812</v>
      </c>
      <c r="L240" s="12">
        <f t="shared" si="29"/>
        <v>798470.4</v>
      </c>
      <c r="M240" s="12">
        <f t="shared" si="30"/>
        <v>848374.79999999993</v>
      </c>
      <c r="N240" s="12">
        <f t="shared" si="31"/>
        <v>904933.12</v>
      </c>
    </row>
    <row r="241" spans="1:14" ht="22.5" hidden="1" customHeight="1">
      <c r="A241" s="1">
        <v>112716</v>
      </c>
      <c r="B241" s="3" t="s">
        <v>325</v>
      </c>
      <c r="C241" s="1" t="s">
        <v>15</v>
      </c>
      <c r="D241" s="1" t="s">
        <v>16</v>
      </c>
      <c r="E241" s="2">
        <v>442507</v>
      </c>
      <c r="F241" s="1" t="s">
        <v>5</v>
      </c>
      <c r="G241" s="11">
        <f t="shared" si="25"/>
        <v>287629.55000000005</v>
      </c>
      <c r="H241" s="11">
        <f t="shared" si="26"/>
        <v>54649.614500000011</v>
      </c>
      <c r="I241" s="13">
        <f t="shared" si="27"/>
        <v>342279.16450000007</v>
      </c>
      <c r="J241" s="11">
        <f t="shared" si="32"/>
        <v>380310.18277777784</v>
      </c>
      <c r="K241" s="12">
        <f t="shared" si="28"/>
        <v>388953.59602272738</v>
      </c>
      <c r="L241" s="12">
        <f t="shared" si="29"/>
        <v>402681.37000000011</v>
      </c>
      <c r="M241" s="12">
        <f t="shared" si="30"/>
        <v>427848.95562500006</v>
      </c>
      <c r="N241" s="12">
        <f t="shared" si="31"/>
        <v>456372.21933333343</v>
      </c>
    </row>
    <row r="242" spans="1:14" ht="22.5" hidden="1" customHeight="1">
      <c r="A242" s="1">
        <v>108899</v>
      </c>
      <c r="B242" s="3" t="s">
        <v>326</v>
      </c>
      <c r="C242" s="1" t="s">
        <v>18</v>
      </c>
      <c r="D242" s="1" t="s">
        <v>16</v>
      </c>
      <c r="E242" s="2">
        <v>427243</v>
      </c>
      <c r="F242" s="1">
        <v>30</v>
      </c>
      <c r="G242" s="11">
        <f t="shared" si="25"/>
        <v>277707.95</v>
      </c>
      <c r="H242" s="11">
        <f t="shared" si="26"/>
        <v>52764.510500000004</v>
      </c>
      <c r="I242" s="13">
        <f t="shared" si="27"/>
        <v>330472.46050000004</v>
      </c>
      <c r="J242" s="11">
        <f t="shared" si="32"/>
        <v>367191.62277777784</v>
      </c>
      <c r="K242" s="12">
        <f t="shared" si="28"/>
        <v>375536.88693181821</v>
      </c>
      <c r="L242" s="12">
        <f t="shared" si="29"/>
        <v>388791.13000000006</v>
      </c>
      <c r="M242" s="12">
        <f t="shared" si="30"/>
        <v>413090.57562500006</v>
      </c>
      <c r="N242" s="12">
        <f t="shared" si="31"/>
        <v>440629.94733333337</v>
      </c>
    </row>
    <row r="243" spans="1:14" ht="22.5" hidden="1" customHeight="1">
      <c r="A243" s="1">
        <v>109057</v>
      </c>
      <c r="B243" s="3" t="s">
        <v>327</v>
      </c>
      <c r="C243" s="1" t="s">
        <v>18</v>
      </c>
      <c r="D243" s="1" t="s">
        <v>29</v>
      </c>
      <c r="E243" s="2">
        <v>404455</v>
      </c>
      <c r="F243" s="1">
        <v>69</v>
      </c>
      <c r="G243" s="11">
        <f t="shared" si="25"/>
        <v>262895.75</v>
      </c>
      <c r="H243" s="11">
        <f t="shared" si="26"/>
        <v>49950.192499999997</v>
      </c>
      <c r="I243" s="13">
        <f t="shared" si="27"/>
        <v>312845.9425</v>
      </c>
      <c r="J243" s="11">
        <f t="shared" si="32"/>
        <v>347606.60277777776</v>
      </c>
      <c r="K243" s="12">
        <f t="shared" si="28"/>
        <v>355506.75284090912</v>
      </c>
      <c r="L243" s="12">
        <f t="shared" si="29"/>
        <v>368054.05</v>
      </c>
      <c r="M243" s="12">
        <f t="shared" si="30"/>
        <v>391057.42812499998</v>
      </c>
      <c r="N243" s="12">
        <f t="shared" si="31"/>
        <v>417127.92333333334</v>
      </c>
    </row>
    <row r="244" spans="1:14" ht="22.5" hidden="1" customHeight="1">
      <c r="A244" s="1" t="s">
        <v>328</v>
      </c>
      <c r="B244" s="3" t="s">
        <v>329</v>
      </c>
      <c r="C244" s="1" t="s">
        <v>15</v>
      </c>
      <c r="D244" s="1" t="s">
        <v>84</v>
      </c>
      <c r="E244" s="2">
        <v>694137</v>
      </c>
      <c r="F244" s="1">
        <v>8</v>
      </c>
      <c r="G244" s="11">
        <f t="shared" si="25"/>
        <v>451189.05000000005</v>
      </c>
      <c r="H244" s="11">
        <f t="shared" si="26"/>
        <v>85725.919500000004</v>
      </c>
      <c r="I244" s="13">
        <f t="shared" si="27"/>
        <v>536914.96950000001</v>
      </c>
      <c r="J244" s="11">
        <f t="shared" si="32"/>
        <v>596572.18833333335</v>
      </c>
      <c r="K244" s="12">
        <f t="shared" si="28"/>
        <v>610130.64715909096</v>
      </c>
      <c r="L244" s="12">
        <f t="shared" si="29"/>
        <v>631664.67000000004</v>
      </c>
      <c r="M244" s="12">
        <f t="shared" si="30"/>
        <v>671143.71187499992</v>
      </c>
      <c r="N244" s="12">
        <f t="shared" si="31"/>
        <v>715886.62600000005</v>
      </c>
    </row>
    <row r="245" spans="1:14" ht="22.5" hidden="1" customHeight="1">
      <c r="A245" s="1">
        <v>109523</v>
      </c>
      <c r="B245" s="3" t="s">
        <v>330</v>
      </c>
      <c r="C245" s="1" t="s">
        <v>15</v>
      </c>
      <c r="D245" s="1" t="s">
        <v>23</v>
      </c>
      <c r="E245" s="2">
        <v>98314</v>
      </c>
      <c r="F245" s="1">
        <v>5</v>
      </c>
      <c r="G245" s="11">
        <f t="shared" si="25"/>
        <v>63904.100000000006</v>
      </c>
      <c r="H245" s="11">
        <f t="shared" si="26"/>
        <v>12141.779</v>
      </c>
      <c r="I245" s="13">
        <f t="shared" si="27"/>
        <v>76045.879000000001</v>
      </c>
      <c r="J245" s="11">
        <f t="shared" si="32"/>
        <v>84495.421111111107</v>
      </c>
      <c r="K245" s="12">
        <f t="shared" si="28"/>
        <v>86415.771590909091</v>
      </c>
      <c r="L245" s="12">
        <f t="shared" si="29"/>
        <v>89465.74</v>
      </c>
      <c r="M245" s="12">
        <f t="shared" si="30"/>
        <v>95057.34874999999</v>
      </c>
      <c r="N245" s="12">
        <f t="shared" si="31"/>
        <v>101394.50533333333</v>
      </c>
    </row>
    <row r="246" spans="1:14" ht="22.5" hidden="1" customHeight="1">
      <c r="A246" s="1">
        <v>151054</v>
      </c>
      <c r="B246" s="3" t="s">
        <v>331</v>
      </c>
      <c r="C246" s="1" t="s">
        <v>15</v>
      </c>
      <c r="D246" s="1" t="s">
        <v>23</v>
      </c>
      <c r="E246" s="2">
        <v>97871</v>
      </c>
      <c r="F246" s="1">
        <v>7</v>
      </c>
      <c r="G246" s="11">
        <f t="shared" si="25"/>
        <v>63616.15</v>
      </c>
      <c r="H246" s="11">
        <f t="shared" si="26"/>
        <v>12087.068500000001</v>
      </c>
      <c r="I246" s="13">
        <f t="shared" si="27"/>
        <v>75703.218500000003</v>
      </c>
      <c r="J246" s="11">
        <f t="shared" si="32"/>
        <v>84114.68722222223</v>
      </c>
      <c r="K246" s="12">
        <f t="shared" si="28"/>
        <v>86026.384659090909</v>
      </c>
      <c r="L246" s="12">
        <f t="shared" si="29"/>
        <v>89062.61</v>
      </c>
      <c r="M246" s="12">
        <f t="shared" si="30"/>
        <v>94629.023124999992</v>
      </c>
      <c r="N246" s="12">
        <f t="shared" si="31"/>
        <v>100937.62466666667</v>
      </c>
    </row>
    <row r="247" spans="1:14" ht="22.5" hidden="1" customHeight="1">
      <c r="A247" s="1">
        <v>151075</v>
      </c>
      <c r="B247" s="3" t="s">
        <v>332</v>
      </c>
      <c r="C247" s="1" t="s">
        <v>15</v>
      </c>
      <c r="D247" s="1" t="s">
        <v>23</v>
      </c>
      <c r="E247" s="2">
        <v>91590</v>
      </c>
      <c r="F247" s="1">
        <v>20</v>
      </c>
      <c r="G247" s="11">
        <f t="shared" si="25"/>
        <v>59533.5</v>
      </c>
      <c r="H247" s="11">
        <f t="shared" si="26"/>
        <v>11311.365</v>
      </c>
      <c r="I247" s="13">
        <f t="shared" si="27"/>
        <v>70844.865000000005</v>
      </c>
      <c r="J247" s="11">
        <f t="shared" si="32"/>
        <v>78716.516666666677</v>
      </c>
      <c r="K247" s="12">
        <f t="shared" si="28"/>
        <v>80505.528409090912</v>
      </c>
      <c r="L247" s="12">
        <f t="shared" si="29"/>
        <v>83346.900000000009</v>
      </c>
      <c r="M247" s="12">
        <f t="shared" si="30"/>
        <v>88556.081250000003</v>
      </c>
      <c r="N247" s="12">
        <f t="shared" si="31"/>
        <v>94459.82</v>
      </c>
    </row>
    <row r="248" spans="1:14" ht="22.5" hidden="1" customHeight="1">
      <c r="A248" s="1">
        <v>150983</v>
      </c>
      <c r="B248" s="3" t="s">
        <v>333</v>
      </c>
      <c r="C248" s="1" t="s">
        <v>15</v>
      </c>
      <c r="D248" s="1" t="s">
        <v>23</v>
      </c>
      <c r="E248" s="2">
        <v>92880</v>
      </c>
      <c r="F248" s="1">
        <v>17</v>
      </c>
      <c r="G248" s="11">
        <f t="shared" si="25"/>
        <v>60372</v>
      </c>
      <c r="H248" s="11">
        <f t="shared" si="26"/>
        <v>11470.68</v>
      </c>
      <c r="I248" s="13">
        <f t="shared" si="27"/>
        <v>71842.679999999993</v>
      </c>
      <c r="J248" s="11">
        <f t="shared" si="32"/>
        <v>79825.2</v>
      </c>
      <c r="K248" s="12">
        <f t="shared" si="28"/>
        <v>81639.409090909088</v>
      </c>
      <c r="L248" s="12">
        <f t="shared" si="29"/>
        <v>84520.799999999988</v>
      </c>
      <c r="M248" s="12">
        <f t="shared" si="30"/>
        <v>89803.349999999991</v>
      </c>
      <c r="N248" s="12">
        <f t="shared" si="31"/>
        <v>95790.239999999991</v>
      </c>
    </row>
    <row r="249" spans="1:14" ht="22.5" hidden="1" customHeight="1">
      <c r="A249" s="1">
        <v>150724</v>
      </c>
      <c r="B249" s="3" t="s">
        <v>334</v>
      </c>
      <c r="C249" s="1" t="s">
        <v>233</v>
      </c>
      <c r="D249" s="1" t="s">
        <v>16</v>
      </c>
      <c r="E249" s="2">
        <v>100123</v>
      </c>
      <c r="F249" s="1" t="s">
        <v>5</v>
      </c>
      <c r="G249" s="11">
        <f t="shared" si="25"/>
        <v>65079.950000000004</v>
      </c>
      <c r="H249" s="11">
        <f t="shared" si="26"/>
        <v>12365.190500000001</v>
      </c>
      <c r="I249" s="13">
        <f t="shared" si="27"/>
        <v>77445.140500000009</v>
      </c>
      <c r="J249" s="11">
        <f t="shared" si="32"/>
        <v>86050.156111111122</v>
      </c>
      <c r="K249" s="12">
        <f t="shared" si="28"/>
        <v>88005.841477272741</v>
      </c>
      <c r="L249" s="12">
        <f t="shared" si="29"/>
        <v>91111.930000000008</v>
      </c>
      <c r="M249" s="12">
        <f t="shared" si="30"/>
        <v>96806.425625000003</v>
      </c>
      <c r="N249" s="12">
        <f t="shared" si="31"/>
        <v>103260.18733333335</v>
      </c>
    </row>
    <row r="250" spans="1:14" ht="22.5" hidden="1" customHeight="1">
      <c r="A250" s="1">
        <v>108872</v>
      </c>
      <c r="B250" s="3" t="s">
        <v>335</v>
      </c>
      <c r="C250" s="1" t="s">
        <v>15</v>
      </c>
      <c r="D250" s="1" t="s">
        <v>16</v>
      </c>
      <c r="E250" s="2">
        <v>114264</v>
      </c>
      <c r="F250" s="1">
        <v>80</v>
      </c>
      <c r="G250" s="11">
        <f t="shared" si="25"/>
        <v>74271.600000000006</v>
      </c>
      <c r="H250" s="11">
        <f t="shared" si="26"/>
        <v>14111.604000000001</v>
      </c>
      <c r="I250" s="13">
        <f t="shared" si="27"/>
        <v>88383.204000000012</v>
      </c>
      <c r="J250" s="11">
        <f t="shared" si="32"/>
        <v>98203.560000000012</v>
      </c>
      <c r="K250" s="12">
        <f t="shared" si="28"/>
        <v>100435.45909090911</v>
      </c>
      <c r="L250" s="12">
        <f t="shared" si="29"/>
        <v>103980.24000000002</v>
      </c>
      <c r="M250" s="12">
        <f t="shared" si="30"/>
        <v>110479.005</v>
      </c>
      <c r="N250" s="12">
        <f t="shared" si="31"/>
        <v>117844.27200000001</v>
      </c>
    </row>
    <row r="251" spans="1:14" ht="22.5" hidden="1" customHeight="1">
      <c r="A251" s="1">
        <v>150514</v>
      </c>
      <c r="B251" s="3" t="s">
        <v>336</v>
      </c>
      <c r="C251" s="1" t="s">
        <v>22</v>
      </c>
      <c r="D251" s="1" t="s">
        <v>46</v>
      </c>
      <c r="E251" s="2">
        <v>135631</v>
      </c>
      <c r="F251" s="1" t="s">
        <v>5</v>
      </c>
      <c r="G251" s="11">
        <f t="shared" si="25"/>
        <v>88160.15</v>
      </c>
      <c r="H251" s="11">
        <f t="shared" si="26"/>
        <v>16750.428499999998</v>
      </c>
      <c r="I251" s="13">
        <f t="shared" si="27"/>
        <v>104910.57849999999</v>
      </c>
      <c r="J251" s="11">
        <f t="shared" si="32"/>
        <v>116567.30944444443</v>
      </c>
      <c r="K251" s="12">
        <f t="shared" si="28"/>
        <v>119216.56647727272</v>
      </c>
      <c r="L251" s="12">
        <f t="shared" si="29"/>
        <v>123424.20999999999</v>
      </c>
      <c r="M251" s="12">
        <f t="shared" si="30"/>
        <v>131138.22312499999</v>
      </c>
      <c r="N251" s="12">
        <f t="shared" si="31"/>
        <v>139880.77133333331</v>
      </c>
    </row>
    <row r="252" spans="1:14" ht="22.5" hidden="1" customHeight="1">
      <c r="A252" s="1">
        <v>151145</v>
      </c>
      <c r="B252" s="3" t="s">
        <v>337</v>
      </c>
      <c r="C252" s="1" t="s">
        <v>18</v>
      </c>
      <c r="D252" s="1" t="s">
        <v>19</v>
      </c>
      <c r="E252" s="2">
        <v>118779</v>
      </c>
      <c r="F252" s="1">
        <v>64</v>
      </c>
      <c r="G252" s="11">
        <f t="shared" si="25"/>
        <v>77206.350000000006</v>
      </c>
      <c r="H252" s="11">
        <f t="shared" si="26"/>
        <v>14669.206500000002</v>
      </c>
      <c r="I252" s="13">
        <f t="shared" si="27"/>
        <v>91875.556500000006</v>
      </c>
      <c r="J252" s="11">
        <f t="shared" si="32"/>
        <v>102083.95166666668</v>
      </c>
      <c r="K252" s="12">
        <f t="shared" si="28"/>
        <v>104404.04147727274</v>
      </c>
      <c r="L252" s="12">
        <f t="shared" si="29"/>
        <v>108088.89000000001</v>
      </c>
      <c r="M252" s="12">
        <f t="shared" si="30"/>
        <v>114844.44562500001</v>
      </c>
      <c r="N252" s="12">
        <f t="shared" si="31"/>
        <v>122500.74200000001</v>
      </c>
    </row>
    <row r="253" spans="1:14" ht="22.5" hidden="1" customHeight="1">
      <c r="A253" s="1">
        <v>150785</v>
      </c>
      <c r="B253" s="3" t="s">
        <v>338</v>
      </c>
      <c r="C253" s="1" t="s">
        <v>15</v>
      </c>
      <c r="D253" s="1" t="s">
        <v>16</v>
      </c>
      <c r="E253" s="2">
        <v>145276</v>
      </c>
      <c r="F253" s="1">
        <v>2</v>
      </c>
      <c r="G253" s="11">
        <f t="shared" si="25"/>
        <v>94429.4</v>
      </c>
      <c r="H253" s="11">
        <f t="shared" si="26"/>
        <v>17941.585999999999</v>
      </c>
      <c r="I253" s="13">
        <f t="shared" si="27"/>
        <v>112370.98599999999</v>
      </c>
      <c r="J253" s="11">
        <f t="shared" si="32"/>
        <v>124856.6511111111</v>
      </c>
      <c r="K253" s="12">
        <f t="shared" si="28"/>
        <v>127694.30227272726</v>
      </c>
      <c r="L253" s="12">
        <f t="shared" si="29"/>
        <v>132201.16</v>
      </c>
      <c r="M253" s="12">
        <f t="shared" si="30"/>
        <v>140463.73249999998</v>
      </c>
      <c r="N253" s="12">
        <f t="shared" si="31"/>
        <v>149827.98133333333</v>
      </c>
    </row>
    <row r="254" spans="1:14" ht="22.5" hidden="1" customHeight="1">
      <c r="A254" s="1">
        <v>109689</v>
      </c>
      <c r="B254" s="3" t="s">
        <v>339</v>
      </c>
      <c r="C254" s="1" t="s">
        <v>18</v>
      </c>
      <c r="D254" s="1" t="s">
        <v>23</v>
      </c>
      <c r="E254" s="2">
        <v>160855</v>
      </c>
      <c r="F254" s="1">
        <v>1</v>
      </c>
      <c r="G254" s="11">
        <f t="shared" si="25"/>
        <v>104555.75</v>
      </c>
      <c r="H254" s="11">
        <f t="shared" si="26"/>
        <v>19865.592499999999</v>
      </c>
      <c r="I254" s="13">
        <f t="shared" si="27"/>
        <v>124421.3425</v>
      </c>
      <c r="J254" s="11">
        <f t="shared" si="32"/>
        <v>138245.93611111111</v>
      </c>
      <c r="K254" s="12">
        <f t="shared" si="28"/>
        <v>141387.88920454544</v>
      </c>
      <c r="L254" s="12">
        <f t="shared" si="29"/>
        <v>146378.04999999999</v>
      </c>
      <c r="M254" s="12">
        <f t="shared" si="30"/>
        <v>155526.67812499998</v>
      </c>
      <c r="N254" s="12">
        <f t="shared" si="31"/>
        <v>165895.12333333332</v>
      </c>
    </row>
    <row r="255" spans="1:14" ht="22.5" hidden="1" customHeight="1">
      <c r="A255" s="1">
        <v>150475</v>
      </c>
      <c r="B255" s="3" t="s">
        <v>340</v>
      </c>
      <c r="C255" s="1" t="s">
        <v>15</v>
      </c>
      <c r="D255" s="1" t="s">
        <v>16</v>
      </c>
      <c r="E255" s="2">
        <v>116273</v>
      </c>
      <c r="F255" s="1">
        <v>36</v>
      </c>
      <c r="G255" s="11">
        <f t="shared" si="25"/>
        <v>75577.450000000012</v>
      </c>
      <c r="H255" s="11">
        <f t="shared" si="26"/>
        <v>14359.715500000002</v>
      </c>
      <c r="I255" s="13">
        <f t="shared" si="27"/>
        <v>89937.165500000017</v>
      </c>
      <c r="J255" s="11">
        <f t="shared" si="32"/>
        <v>99930.183888888903</v>
      </c>
      <c r="K255" s="12">
        <f t="shared" si="28"/>
        <v>102201.3244318182</v>
      </c>
      <c r="L255" s="12">
        <f t="shared" si="29"/>
        <v>105808.43000000002</v>
      </c>
      <c r="M255" s="12">
        <f t="shared" si="30"/>
        <v>112421.45687500002</v>
      </c>
      <c r="N255" s="12">
        <f t="shared" si="31"/>
        <v>119916.22066666669</v>
      </c>
    </row>
    <row r="256" spans="1:14" ht="22.5" hidden="1" customHeight="1">
      <c r="A256" s="1">
        <v>150520</v>
      </c>
      <c r="B256" s="3" t="s">
        <v>341</v>
      </c>
      <c r="C256" s="1" t="s">
        <v>18</v>
      </c>
      <c r="D256" s="1" t="s">
        <v>19</v>
      </c>
      <c r="E256" s="2">
        <v>120505</v>
      </c>
      <c r="F256" s="1">
        <v>2</v>
      </c>
      <c r="G256" s="11">
        <f t="shared" si="25"/>
        <v>78328.25</v>
      </c>
      <c r="H256" s="11">
        <f t="shared" si="26"/>
        <v>14882.3675</v>
      </c>
      <c r="I256" s="13">
        <f t="shared" si="27"/>
        <v>93210.617499999993</v>
      </c>
      <c r="J256" s="11">
        <f t="shared" si="32"/>
        <v>103567.35277777776</v>
      </c>
      <c r="K256" s="12">
        <f t="shared" si="28"/>
        <v>105921.15624999999</v>
      </c>
      <c r="L256" s="12">
        <f t="shared" si="29"/>
        <v>109659.54999999999</v>
      </c>
      <c r="M256" s="12">
        <f t="shared" si="30"/>
        <v>116513.27187499999</v>
      </c>
      <c r="N256" s="12">
        <f t="shared" si="31"/>
        <v>124280.82333333332</v>
      </c>
    </row>
    <row r="257" spans="1:14" ht="22.5" hidden="1" customHeight="1">
      <c r="A257" s="1">
        <v>108181</v>
      </c>
      <c r="B257" s="3" t="s">
        <v>342</v>
      </c>
      <c r="C257" s="1" t="s">
        <v>18</v>
      </c>
      <c r="D257" s="1" t="s">
        <v>16</v>
      </c>
      <c r="E257" s="2">
        <v>128055</v>
      </c>
      <c r="F257" s="1">
        <v>1</v>
      </c>
      <c r="G257" s="11">
        <f t="shared" si="25"/>
        <v>83235.75</v>
      </c>
      <c r="H257" s="11">
        <f t="shared" si="26"/>
        <v>15814.7925</v>
      </c>
      <c r="I257" s="13">
        <f t="shared" si="27"/>
        <v>99050.542499999996</v>
      </c>
      <c r="J257" s="11">
        <f t="shared" si="32"/>
        <v>110056.15833333333</v>
      </c>
      <c r="K257" s="12">
        <f t="shared" si="28"/>
        <v>112557.4346590909</v>
      </c>
      <c r="L257" s="12">
        <f t="shared" si="29"/>
        <v>116530.05</v>
      </c>
      <c r="M257" s="12">
        <f t="shared" si="30"/>
        <v>123813.17812499999</v>
      </c>
      <c r="N257" s="12">
        <f t="shared" si="31"/>
        <v>132067.38999999998</v>
      </c>
    </row>
    <row r="258" spans="1:14" ht="22.5" hidden="1" customHeight="1">
      <c r="A258" s="1">
        <v>111523</v>
      </c>
      <c r="B258" s="3" t="s">
        <v>343</v>
      </c>
      <c r="C258" s="1" t="s">
        <v>18</v>
      </c>
      <c r="D258" s="1" t="s">
        <v>23</v>
      </c>
      <c r="E258" s="2">
        <v>148884</v>
      </c>
      <c r="F258" s="1">
        <v>20</v>
      </c>
      <c r="G258" s="11">
        <f t="shared" si="25"/>
        <v>96774.6</v>
      </c>
      <c r="H258" s="11">
        <f t="shared" si="26"/>
        <v>18387.174000000003</v>
      </c>
      <c r="I258" s="13">
        <f t="shared" si="27"/>
        <v>115161.774</v>
      </c>
      <c r="J258" s="11">
        <f t="shared" si="32"/>
        <v>127957.52666666667</v>
      </c>
      <c r="K258" s="12">
        <f t="shared" si="28"/>
        <v>130865.65227272728</v>
      </c>
      <c r="L258" s="12">
        <f t="shared" si="29"/>
        <v>135484.44</v>
      </c>
      <c r="M258" s="12">
        <f t="shared" si="30"/>
        <v>143952.2175</v>
      </c>
      <c r="N258" s="12">
        <f t="shared" si="31"/>
        <v>153549.03200000001</v>
      </c>
    </row>
    <row r="259" spans="1:14" ht="22.5" hidden="1" customHeight="1">
      <c r="A259" s="1">
        <v>108202</v>
      </c>
      <c r="B259" s="3" t="s">
        <v>344</v>
      </c>
      <c r="C259" s="1" t="s">
        <v>18</v>
      </c>
      <c r="D259" s="1" t="s">
        <v>23</v>
      </c>
      <c r="E259" s="2">
        <v>150271</v>
      </c>
      <c r="F259" s="1">
        <v>82</v>
      </c>
      <c r="G259" s="11">
        <f t="shared" ref="G259:G299" si="33">E259-(E259*35%)</f>
        <v>97676.15</v>
      </c>
      <c r="H259" s="11">
        <f t="shared" ref="H259:H299" si="34">G259*19%</f>
        <v>18558.468499999999</v>
      </c>
      <c r="I259" s="13">
        <f t="shared" ref="I259:I299" si="35">G259+H259</f>
        <v>116234.6185</v>
      </c>
      <c r="J259" s="11">
        <f t="shared" si="32"/>
        <v>129149.57611111111</v>
      </c>
      <c r="K259" s="12">
        <f t="shared" ref="K259:K299" si="36">I259/(1-12%)</f>
        <v>132084.79374999998</v>
      </c>
      <c r="L259" s="12">
        <f t="shared" ref="L259:L299" si="37">I259/(1-15%)</f>
        <v>136746.60999999999</v>
      </c>
      <c r="M259" s="12">
        <f t="shared" ref="M259:M299" si="38">I259/(1-20%)</f>
        <v>145293.27312499998</v>
      </c>
      <c r="N259" s="12">
        <f t="shared" ref="N259:N299" si="39">I259/(1-25%)</f>
        <v>154979.49133333334</v>
      </c>
    </row>
    <row r="260" spans="1:14" ht="22.5" hidden="1" customHeight="1">
      <c r="A260" s="1">
        <v>110120</v>
      </c>
      <c r="B260" s="3" t="s">
        <v>345</v>
      </c>
      <c r="C260" s="1" t="s">
        <v>15</v>
      </c>
      <c r="D260" s="1" t="s">
        <v>29</v>
      </c>
      <c r="E260" s="2">
        <v>149255</v>
      </c>
      <c r="F260" s="1">
        <v>25</v>
      </c>
      <c r="G260" s="11">
        <f t="shared" si="33"/>
        <v>97015.75</v>
      </c>
      <c r="H260" s="11">
        <f t="shared" si="34"/>
        <v>18432.9925</v>
      </c>
      <c r="I260" s="13">
        <f t="shared" si="35"/>
        <v>115448.74249999999</v>
      </c>
      <c r="J260" s="11">
        <f t="shared" si="32"/>
        <v>128276.38055555554</v>
      </c>
      <c r="K260" s="12">
        <f t="shared" si="36"/>
        <v>131191.75284090909</v>
      </c>
      <c r="L260" s="12">
        <f t="shared" si="37"/>
        <v>135822.04999999999</v>
      </c>
      <c r="M260" s="12">
        <f t="shared" si="38"/>
        <v>144310.92812499998</v>
      </c>
      <c r="N260" s="12">
        <f t="shared" si="39"/>
        <v>153931.65666666665</v>
      </c>
    </row>
    <row r="261" spans="1:14" ht="22.5" hidden="1" customHeight="1">
      <c r="A261" s="1">
        <v>110121</v>
      </c>
      <c r="B261" s="3" t="s">
        <v>346</v>
      </c>
      <c r="C261" s="1" t="s">
        <v>18</v>
      </c>
      <c r="D261" s="1" t="s">
        <v>29</v>
      </c>
      <c r="E261" s="2">
        <v>128513</v>
      </c>
      <c r="F261" s="1" t="s">
        <v>5</v>
      </c>
      <c r="G261" s="11">
        <f t="shared" si="33"/>
        <v>83533.450000000012</v>
      </c>
      <c r="H261" s="11">
        <f t="shared" si="34"/>
        <v>15871.355500000003</v>
      </c>
      <c r="I261" s="13">
        <f t="shared" si="35"/>
        <v>99404.805500000017</v>
      </c>
      <c r="J261" s="11">
        <f t="shared" si="32"/>
        <v>110449.78388888891</v>
      </c>
      <c r="K261" s="12">
        <f t="shared" si="36"/>
        <v>112960.00625000002</v>
      </c>
      <c r="L261" s="12">
        <f t="shared" si="37"/>
        <v>116946.83000000002</v>
      </c>
      <c r="M261" s="12">
        <f t="shared" si="38"/>
        <v>124256.00687500002</v>
      </c>
      <c r="N261" s="12">
        <f t="shared" si="39"/>
        <v>132539.74066666668</v>
      </c>
    </row>
    <row r="262" spans="1:14" ht="22.5" hidden="1" customHeight="1">
      <c r="A262" s="1">
        <v>110832</v>
      </c>
      <c r="B262" s="3" t="s">
        <v>347</v>
      </c>
      <c r="C262" s="1" t="s">
        <v>22</v>
      </c>
      <c r="D262" s="1" t="s">
        <v>29</v>
      </c>
      <c r="E262" s="2">
        <v>134015</v>
      </c>
      <c r="F262" s="1">
        <v>68</v>
      </c>
      <c r="G262" s="11">
        <f t="shared" si="33"/>
        <v>87109.75</v>
      </c>
      <c r="H262" s="11">
        <f t="shared" si="34"/>
        <v>16550.852500000001</v>
      </c>
      <c r="I262" s="13">
        <f t="shared" si="35"/>
        <v>103660.60250000001</v>
      </c>
      <c r="J262" s="11">
        <f t="shared" si="32"/>
        <v>115178.44722222222</v>
      </c>
      <c r="K262" s="12">
        <f t="shared" si="36"/>
        <v>117796.13920454547</v>
      </c>
      <c r="L262" s="12">
        <f t="shared" si="37"/>
        <v>121953.65000000001</v>
      </c>
      <c r="M262" s="12">
        <f t="shared" si="38"/>
        <v>129575.753125</v>
      </c>
      <c r="N262" s="12">
        <f t="shared" si="39"/>
        <v>138214.13666666669</v>
      </c>
    </row>
    <row r="263" spans="1:14" ht="22.5" hidden="1" customHeight="1">
      <c r="A263" s="1" t="s">
        <v>348</v>
      </c>
      <c r="B263" s="3" t="s">
        <v>349</v>
      </c>
      <c r="C263" s="1" t="s">
        <v>22</v>
      </c>
      <c r="D263" s="1" t="s">
        <v>69</v>
      </c>
      <c r="E263" s="2">
        <v>253431</v>
      </c>
      <c r="F263" s="1">
        <v>2</v>
      </c>
      <c r="G263" s="11">
        <f t="shared" si="33"/>
        <v>164730.15000000002</v>
      </c>
      <c r="H263" s="11">
        <f t="shared" si="34"/>
        <v>31298.728500000005</v>
      </c>
      <c r="I263" s="13">
        <f t="shared" si="35"/>
        <v>196028.87850000002</v>
      </c>
      <c r="J263" s="11">
        <f t="shared" si="32"/>
        <v>217809.86500000002</v>
      </c>
      <c r="K263" s="12">
        <f t="shared" si="36"/>
        <v>222760.08920454548</v>
      </c>
      <c r="L263" s="12">
        <f t="shared" si="37"/>
        <v>230622.21000000002</v>
      </c>
      <c r="M263" s="12">
        <f t="shared" si="38"/>
        <v>245036.09812500002</v>
      </c>
      <c r="N263" s="12">
        <f t="shared" si="39"/>
        <v>261371.83800000002</v>
      </c>
    </row>
    <row r="264" spans="1:14" ht="22.5" hidden="1" customHeight="1">
      <c r="A264" s="1">
        <v>108221</v>
      </c>
      <c r="B264" s="3" t="s">
        <v>350</v>
      </c>
      <c r="C264" s="1" t="s">
        <v>25</v>
      </c>
      <c r="D264" s="1" t="s">
        <v>16</v>
      </c>
      <c r="E264" s="2">
        <v>76515</v>
      </c>
      <c r="F264" s="1">
        <v>4</v>
      </c>
      <c r="G264" s="11">
        <f t="shared" si="33"/>
        <v>49734.75</v>
      </c>
      <c r="H264" s="11">
        <f t="shared" si="34"/>
        <v>9449.6025000000009</v>
      </c>
      <c r="I264" s="13">
        <f t="shared" si="35"/>
        <v>59184.352500000001</v>
      </c>
      <c r="J264" s="11">
        <f t="shared" si="32"/>
        <v>65760.391666666663</v>
      </c>
      <c r="K264" s="12">
        <f t="shared" si="36"/>
        <v>67254.946022727279</v>
      </c>
      <c r="L264" s="12">
        <f t="shared" si="37"/>
        <v>69628.650000000009</v>
      </c>
      <c r="M264" s="12">
        <f t="shared" si="38"/>
        <v>73980.440625000003</v>
      </c>
      <c r="N264" s="12">
        <f t="shared" si="39"/>
        <v>78912.47</v>
      </c>
    </row>
    <row r="265" spans="1:14" ht="22.5" hidden="1" customHeight="1">
      <c r="A265" s="1">
        <v>109017</v>
      </c>
      <c r="B265" s="3" t="s">
        <v>351</v>
      </c>
      <c r="C265" s="1" t="s">
        <v>15</v>
      </c>
      <c r="D265" s="1" t="s">
        <v>23</v>
      </c>
      <c r="E265" s="2">
        <v>103967</v>
      </c>
      <c r="F265" s="1">
        <v>2</v>
      </c>
      <c r="G265" s="11">
        <f t="shared" si="33"/>
        <v>67578.55</v>
      </c>
      <c r="H265" s="11">
        <f t="shared" si="34"/>
        <v>12839.924500000001</v>
      </c>
      <c r="I265" s="13">
        <f t="shared" si="35"/>
        <v>80418.474500000011</v>
      </c>
      <c r="J265" s="11">
        <f t="shared" si="32"/>
        <v>89353.86055555557</v>
      </c>
      <c r="K265" s="12">
        <f t="shared" si="36"/>
        <v>91384.630113636376</v>
      </c>
      <c r="L265" s="12">
        <f t="shared" si="37"/>
        <v>94609.970000000016</v>
      </c>
      <c r="M265" s="12">
        <f t="shared" si="38"/>
        <v>100523.09312500001</v>
      </c>
      <c r="N265" s="12">
        <f t="shared" si="39"/>
        <v>107224.63266666669</v>
      </c>
    </row>
    <row r="266" spans="1:14" ht="22.5" hidden="1" customHeight="1">
      <c r="A266" s="1">
        <v>108041</v>
      </c>
      <c r="B266" s="3" t="s">
        <v>352</v>
      </c>
      <c r="C266" s="1" t="s">
        <v>15</v>
      </c>
      <c r="D266" s="1" t="s">
        <v>16</v>
      </c>
      <c r="E266" s="2">
        <v>128802</v>
      </c>
      <c r="F266" s="1">
        <v>64</v>
      </c>
      <c r="G266" s="11">
        <f t="shared" si="33"/>
        <v>83721.3</v>
      </c>
      <c r="H266" s="11">
        <f t="shared" si="34"/>
        <v>15907.047</v>
      </c>
      <c r="I266" s="13">
        <f t="shared" si="35"/>
        <v>99628.347000000009</v>
      </c>
      <c r="J266" s="11">
        <f t="shared" si="32"/>
        <v>110698.16333333334</v>
      </c>
      <c r="K266" s="12">
        <f t="shared" si="36"/>
        <v>113214.03068181819</v>
      </c>
      <c r="L266" s="12">
        <f t="shared" si="37"/>
        <v>117209.82</v>
      </c>
      <c r="M266" s="12">
        <f t="shared" si="38"/>
        <v>124535.43375000001</v>
      </c>
      <c r="N266" s="12">
        <f t="shared" si="39"/>
        <v>132837.796</v>
      </c>
    </row>
    <row r="267" spans="1:14" ht="22.5" hidden="1" customHeight="1">
      <c r="A267" s="1">
        <v>151248</v>
      </c>
      <c r="B267" s="3" t="s">
        <v>353</v>
      </c>
      <c r="C267" s="1" t="s">
        <v>15</v>
      </c>
      <c r="D267" s="1" t="s">
        <v>23</v>
      </c>
      <c r="E267" s="2">
        <v>94939</v>
      </c>
      <c r="F267" s="1">
        <v>38</v>
      </c>
      <c r="G267" s="11">
        <f t="shared" si="33"/>
        <v>61710.35</v>
      </c>
      <c r="H267" s="11">
        <f t="shared" si="34"/>
        <v>11724.9665</v>
      </c>
      <c r="I267" s="13">
        <f t="shared" si="35"/>
        <v>73435.316500000001</v>
      </c>
      <c r="J267" s="11">
        <f t="shared" si="32"/>
        <v>81594.796111111107</v>
      </c>
      <c r="K267" s="12">
        <f t="shared" si="36"/>
        <v>83449.223295454547</v>
      </c>
      <c r="L267" s="12">
        <f t="shared" si="37"/>
        <v>86394.49</v>
      </c>
      <c r="M267" s="12">
        <f t="shared" si="38"/>
        <v>91794.14562499999</v>
      </c>
      <c r="N267" s="12">
        <f t="shared" si="39"/>
        <v>97913.755333333334</v>
      </c>
    </row>
    <row r="268" spans="1:14" ht="22.5" hidden="1" customHeight="1">
      <c r="A268" s="1">
        <v>111684</v>
      </c>
      <c r="B268" s="3" t="s">
        <v>354</v>
      </c>
      <c r="C268" s="1" t="s">
        <v>22</v>
      </c>
      <c r="D268" s="1" t="s">
        <v>16</v>
      </c>
      <c r="E268" s="2">
        <v>202399</v>
      </c>
      <c r="F268" s="1">
        <v>73</v>
      </c>
      <c r="G268" s="11">
        <f t="shared" si="33"/>
        <v>131559.35</v>
      </c>
      <c r="H268" s="11">
        <f t="shared" si="34"/>
        <v>24996.2765</v>
      </c>
      <c r="I268" s="13">
        <f t="shared" si="35"/>
        <v>156555.62650000001</v>
      </c>
      <c r="J268" s="11">
        <f t="shared" si="32"/>
        <v>173950.69611111112</v>
      </c>
      <c r="K268" s="12">
        <f t="shared" si="36"/>
        <v>177904.12102272728</v>
      </c>
      <c r="L268" s="12">
        <f t="shared" si="37"/>
        <v>184183.09000000003</v>
      </c>
      <c r="M268" s="12">
        <f t="shared" si="38"/>
        <v>195694.53312500002</v>
      </c>
      <c r="N268" s="12">
        <f t="shared" si="39"/>
        <v>208740.83533333335</v>
      </c>
    </row>
    <row r="269" spans="1:14" ht="22.5" hidden="1" customHeight="1">
      <c r="A269" s="1" t="s">
        <v>355</v>
      </c>
      <c r="B269" s="3" t="s">
        <v>356</v>
      </c>
      <c r="C269" s="1" t="s">
        <v>15</v>
      </c>
      <c r="D269" s="1" t="s">
        <v>69</v>
      </c>
      <c r="E269" s="2">
        <v>266478</v>
      </c>
      <c r="F269" s="1">
        <v>1</v>
      </c>
      <c r="G269" s="11">
        <f t="shared" si="33"/>
        <v>173210.7</v>
      </c>
      <c r="H269" s="11">
        <f t="shared" si="34"/>
        <v>32910.033000000003</v>
      </c>
      <c r="I269" s="13">
        <f t="shared" si="35"/>
        <v>206120.73300000001</v>
      </c>
      <c r="J269" s="11">
        <f t="shared" si="32"/>
        <v>229023.03666666668</v>
      </c>
      <c r="K269" s="12">
        <f t="shared" si="36"/>
        <v>234228.10568181818</v>
      </c>
      <c r="L269" s="12">
        <f t="shared" si="37"/>
        <v>242494.98</v>
      </c>
      <c r="M269" s="12">
        <f t="shared" si="38"/>
        <v>257650.91625000001</v>
      </c>
      <c r="N269" s="12">
        <f t="shared" si="39"/>
        <v>274827.64400000003</v>
      </c>
    </row>
    <row r="270" spans="1:14" ht="22.5" hidden="1" customHeight="1">
      <c r="A270" s="1">
        <v>151021</v>
      </c>
      <c r="B270" s="3" t="s">
        <v>357</v>
      </c>
      <c r="C270" s="1" t="s">
        <v>18</v>
      </c>
      <c r="D270" s="1" t="s">
        <v>19</v>
      </c>
      <c r="E270" s="2">
        <v>149481</v>
      </c>
      <c r="F270" s="1" t="s">
        <v>5</v>
      </c>
      <c r="G270" s="11">
        <f t="shared" si="33"/>
        <v>97162.65</v>
      </c>
      <c r="H270" s="11">
        <f t="shared" si="34"/>
        <v>18460.9035</v>
      </c>
      <c r="I270" s="13">
        <f t="shared" si="35"/>
        <v>115623.55349999999</v>
      </c>
      <c r="J270" s="11">
        <f t="shared" ref="J270:J299" si="40">I270/(1-10%)</f>
        <v>128470.61499999999</v>
      </c>
      <c r="K270" s="12">
        <f t="shared" si="36"/>
        <v>131390.40170454545</v>
      </c>
      <c r="L270" s="12">
        <f t="shared" si="37"/>
        <v>136027.71</v>
      </c>
      <c r="M270" s="12">
        <f t="shared" si="38"/>
        <v>144529.44187499999</v>
      </c>
      <c r="N270" s="12">
        <f t="shared" si="39"/>
        <v>154164.73799999998</v>
      </c>
    </row>
    <row r="271" spans="1:14" ht="22.5" hidden="1" customHeight="1">
      <c r="A271" s="1">
        <v>108276</v>
      </c>
      <c r="B271" s="3" t="s">
        <v>358</v>
      </c>
      <c r="C271" s="1" t="s">
        <v>18</v>
      </c>
      <c r="D271" s="1" t="s">
        <v>16</v>
      </c>
      <c r="E271" s="2">
        <v>159191</v>
      </c>
      <c r="F271" s="1" t="s">
        <v>5</v>
      </c>
      <c r="G271" s="11">
        <f t="shared" si="33"/>
        <v>103474.15</v>
      </c>
      <c r="H271" s="11">
        <f t="shared" si="34"/>
        <v>19660.088499999998</v>
      </c>
      <c r="I271" s="13">
        <f t="shared" si="35"/>
        <v>123134.23849999999</v>
      </c>
      <c r="J271" s="11">
        <f t="shared" si="40"/>
        <v>136815.82055555555</v>
      </c>
      <c r="K271" s="12">
        <f t="shared" si="36"/>
        <v>139925.27102272728</v>
      </c>
      <c r="L271" s="12">
        <f t="shared" si="37"/>
        <v>144863.81</v>
      </c>
      <c r="M271" s="12">
        <f t="shared" si="38"/>
        <v>153917.79812499997</v>
      </c>
      <c r="N271" s="12">
        <f t="shared" si="39"/>
        <v>164178.98466666666</v>
      </c>
    </row>
    <row r="272" spans="1:14" ht="22.5" hidden="1" customHeight="1">
      <c r="A272" s="1">
        <v>108664</v>
      </c>
      <c r="B272" s="3" t="s">
        <v>359</v>
      </c>
      <c r="C272" s="1" t="s">
        <v>15</v>
      </c>
      <c r="D272" s="1" t="s">
        <v>16</v>
      </c>
      <c r="E272" s="2">
        <v>163091</v>
      </c>
      <c r="F272" s="1" t="s">
        <v>5</v>
      </c>
      <c r="G272" s="11">
        <f t="shared" si="33"/>
        <v>106009.15</v>
      </c>
      <c r="H272" s="11">
        <f t="shared" si="34"/>
        <v>20141.738499999999</v>
      </c>
      <c r="I272" s="13">
        <f t="shared" si="35"/>
        <v>126150.8885</v>
      </c>
      <c r="J272" s="11">
        <f t="shared" si="40"/>
        <v>140167.65388888889</v>
      </c>
      <c r="K272" s="12">
        <f t="shared" si="36"/>
        <v>143353.28238636363</v>
      </c>
      <c r="L272" s="12">
        <f t="shared" si="37"/>
        <v>148412.81</v>
      </c>
      <c r="M272" s="12">
        <f t="shared" si="38"/>
        <v>157688.610625</v>
      </c>
      <c r="N272" s="12">
        <f t="shared" si="39"/>
        <v>168201.18466666667</v>
      </c>
    </row>
    <row r="273" spans="1:14" ht="22.5" hidden="1" customHeight="1">
      <c r="A273" s="1">
        <v>112806</v>
      </c>
      <c r="B273" s="3" t="s">
        <v>360</v>
      </c>
      <c r="C273" s="1" t="s">
        <v>18</v>
      </c>
      <c r="D273" s="1" t="s">
        <v>79</v>
      </c>
      <c r="E273" s="2">
        <v>143990</v>
      </c>
      <c r="F273" s="1">
        <v>5</v>
      </c>
      <c r="G273" s="11">
        <f t="shared" si="33"/>
        <v>93593.5</v>
      </c>
      <c r="H273" s="11">
        <f t="shared" si="34"/>
        <v>17782.764999999999</v>
      </c>
      <c r="I273" s="13">
        <f t="shared" si="35"/>
        <v>111376.265</v>
      </c>
      <c r="J273" s="11">
        <f t="shared" si="40"/>
        <v>123751.40555555555</v>
      </c>
      <c r="K273" s="12">
        <f t="shared" si="36"/>
        <v>126563.9375</v>
      </c>
      <c r="L273" s="12">
        <f t="shared" si="37"/>
        <v>131030.90000000001</v>
      </c>
      <c r="M273" s="12">
        <f t="shared" si="38"/>
        <v>139220.33124999999</v>
      </c>
      <c r="N273" s="12">
        <f t="shared" si="39"/>
        <v>148501.68666666668</v>
      </c>
    </row>
    <row r="274" spans="1:14" ht="22.5" hidden="1" customHeight="1">
      <c r="A274" s="1">
        <v>109702</v>
      </c>
      <c r="B274" s="3" t="s">
        <v>361</v>
      </c>
      <c r="C274" s="1" t="s">
        <v>22</v>
      </c>
      <c r="D274" s="1" t="s">
        <v>23</v>
      </c>
      <c r="E274" s="2">
        <v>157657</v>
      </c>
      <c r="F274" s="1">
        <v>48</v>
      </c>
      <c r="G274" s="11">
        <f t="shared" si="33"/>
        <v>102477.05</v>
      </c>
      <c r="H274" s="11">
        <f t="shared" si="34"/>
        <v>19470.639500000001</v>
      </c>
      <c r="I274" s="13">
        <f t="shared" si="35"/>
        <v>121947.68950000001</v>
      </c>
      <c r="J274" s="11">
        <f t="shared" si="40"/>
        <v>135497.43277777778</v>
      </c>
      <c r="K274" s="12">
        <f t="shared" si="36"/>
        <v>138576.91988636364</v>
      </c>
      <c r="L274" s="12">
        <f t="shared" si="37"/>
        <v>143467.87000000002</v>
      </c>
      <c r="M274" s="12">
        <f t="shared" si="38"/>
        <v>152434.611875</v>
      </c>
      <c r="N274" s="12">
        <f t="shared" si="39"/>
        <v>162596.91933333335</v>
      </c>
    </row>
    <row r="275" spans="1:14" ht="22.5" hidden="1" customHeight="1">
      <c r="A275" s="1">
        <v>109085</v>
      </c>
      <c r="B275" s="3" t="s">
        <v>362</v>
      </c>
      <c r="C275" s="1" t="s">
        <v>15</v>
      </c>
      <c r="D275" s="1" t="s">
        <v>23</v>
      </c>
      <c r="E275" s="2">
        <v>178484</v>
      </c>
      <c r="F275" s="1" t="s">
        <v>5</v>
      </c>
      <c r="G275" s="11">
        <f t="shared" si="33"/>
        <v>116014.6</v>
      </c>
      <c r="H275" s="11">
        <f t="shared" si="34"/>
        <v>22042.774000000001</v>
      </c>
      <c r="I275" s="13">
        <f t="shared" si="35"/>
        <v>138057.37400000001</v>
      </c>
      <c r="J275" s="11">
        <f t="shared" si="40"/>
        <v>153397.08222222223</v>
      </c>
      <c r="K275" s="12">
        <f t="shared" si="36"/>
        <v>156883.37954545455</v>
      </c>
      <c r="L275" s="12">
        <f t="shared" si="37"/>
        <v>162420.44</v>
      </c>
      <c r="M275" s="12">
        <f t="shared" si="38"/>
        <v>172571.7175</v>
      </c>
      <c r="N275" s="12">
        <f t="shared" si="39"/>
        <v>184076.49866666668</v>
      </c>
    </row>
    <row r="276" spans="1:14" ht="22.5" hidden="1" customHeight="1">
      <c r="A276" s="1">
        <v>108623</v>
      </c>
      <c r="B276" s="3" t="s">
        <v>363</v>
      </c>
      <c r="C276" s="1" t="s">
        <v>15</v>
      </c>
      <c r="D276" s="1" t="s">
        <v>29</v>
      </c>
      <c r="E276" s="2">
        <v>123682</v>
      </c>
      <c r="F276" s="1" t="s">
        <v>5</v>
      </c>
      <c r="G276" s="11">
        <f t="shared" si="33"/>
        <v>80393.3</v>
      </c>
      <c r="H276" s="11">
        <f t="shared" si="34"/>
        <v>15274.727000000001</v>
      </c>
      <c r="I276" s="13">
        <f t="shared" si="35"/>
        <v>95668.027000000002</v>
      </c>
      <c r="J276" s="11">
        <f t="shared" si="40"/>
        <v>106297.80777777778</v>
      </c>
      <c r="K276" s="12">
        <f t="shared" si="36"/>
        <v>108713.66704545455</v>
      </c>
      <c r="L276" s="12">
        <f t="shared" si="37"/>
        <v>112550.62000000001</v>
      </c>
      <c r="M276" s="12">
        <f t="shared" si="38"/>
        <v>119585.03375</v>
      </c>
      <c r="N276" s="12">
        <f t="shared" si="39"/>
        <v>127557.36933333334</v>
      </c>
    </row>
    <row r="277" spans="1:14" ht="22.5" hidden="1" customHeight="1">
      <c r="A277" s="1">
        <v>110122</v>
      </c>
      <c r="B277" s="3" t="s">
        <v>364</v>
      </c>
      <c r="C277" s="1" t="s">
        <v>18</v>
      </c>
      <c r="D277" s="1" t="s">
        <v>29</v>
      </c>
      <c r="E277" s="2">
        <v>180577</v>
      </c>
      <c r="F277" s="1" t="s">
        <v>5</v>
      </c>
      <c r="G277" s="11">
        <f t="shared" si="33"/>
        <v>117375.05</v>
      </c>
      <c r="H277" s="11">
        <f t="shared" si="34"/>
        <v>22301.2595</v>
      </c>
      <c r="I277" s="13">
        <f t="shared" si="35"/>
        <v>139676.3095</v>
      </c>
      <c r="J277" s="11">
        <f t="shared" si="40"/>
        <v>155195.89944444445</v>
      </c>
      <c r="K277" s="12">
        <f t="shared" si="36"/>
        <v>158723.07897727273</v>
      </c>
      <c r="L277" s="12">
        <f t="shared" si="37"/>
        <v>164325.07</v>
      </c>
      <c r="M277" s="12">
        <f t="shared" si="38"/>
        <v>174595.386875</v>
      </c>
      <c r="N277" s="12">
        <f t="shared" si="39"/>
        <v>186235.07933333333</v>
      </c>
    </row>
    <row r="278" spans="1:14" ht="22.5" hidden="1" customHeight="1">
      <c r="A278" s="1">
        <v>150516</v>
      </c>
      <c r="B278" s="3" t="s">
        <v>365</v>
      </c>
      <c r="C278" s="1" t="s">
        <v>22</v>
      </c>
      <c r="D278" s="1" t="s">
        <v>46</v>
      </c>
      <c r="E278" s="2">
        <v>150249</v>
      </c>
      <c r="F278" s="1">
        <v>2</v>
      </c>
      <c r="G278" s="11">
        <f t="shared" si="33"/>
        <v>97661.85</v>
      </c>
      <c r="H278" s="11">
        <f t="shared" si="34"/>
        <v>18555.751500000002</v>
      </c>
      <c r="I278" s="13">
        <f t="shared" si="35"/>
        <v>116217.6015</v>
      </c>
      <c r="J278" s="11">
        <f t="shared" si="40"/>
        <v>129130.66833333333</v>
      </c>
      <c r="K278" s="12">
        <f t="shared" si="36"/>
        <v>132065.45625000002</v>
      </c>
      <c r="L278" s="12">
        <f t="shared" si="37"/>
        <v>136726.59</v>
      </c>
      <c r="M278" s="12">
        <f t="shared" si="38"/>
        <v>145272.00187499999</v>
      </c>
      <c r="N278" s="12">
        <f t="shared" si="39"/>
        <v>154956.802</v>
      </c>
    </row>
    <row r="279" spans="1:14" ht="22.5" hidden="1" customHeight="1">
      <c r="A279" s="1">
        <v>108976</v>
      </c>
      <c r="B279" s="3" t="s">
        <v>366</v>
      </c>
      <c r="C279" s="1" t="s">
        <v>15</v>
      </c>
      <c r="D279" s="1" t="s">
        <v>29</v>
      </c>
      <c r="E279" s="2">
        <v>214076</v>
      </c>
      <c r="F279" s="1">
        <v>22</v>
      </c>
      <c r="G279" s="11">
        <f t="shared" si="33"/>
        <v>139149.40000000002</v>
      </c>
      <c r="H279" s="11">
        <f t="shared" si="34"/>
        <v>26438.386000000006</v>
      </c>
      <c r="I279" s="13">
        <f t="shared" si="35"/>
        <v>165587.78600000002</v>
      </c>
      <c r="J279" s="11">
        <f t="shared" si="40"/>
        <v>183986.42888888891</v>
      </c>
      <c r="K279" s="12">
        <f t="shared" si="36"/>
        <v>188167.93863636366</v>
      </c>
      <c r="L279" s="12">
        <f t="shared" si="37"/>
        <v>194809.16000000003</v>
      </c>
      <c r="M279" s="12">
        <f t="shared" si="38"/>
        <v>206984.73250000001</v>
      </c>
      <c r="N279" s="12">
        <f t="shared" si="39"/>
        <v>220783.7146666667</v>
      </c>
    </row>
    <row r="280" spans="1:14" ht="22.5" hidden="1" customHeight="1">
      <c r="A280" s="1">
        <v>112413</v>
      </c>
      <c r="B280" s="3" t="s">
        <v>367</v>
      </c>
      <c r="C280" s="1" t="s">
        <v>15</v>
      </c>
      <c r="D280" s="1" t="s">
        <v>16</v>
      </c>
      <c r="E280" s="2">
        <v>140793</v>
      </c>
      <c r="F280" s="1">
        <v>1</v>
      </c>
      <c r="G280" s="11">
        <f t="shared" si="33"/>
        <v>91515.450000000012</v>
      </c>
      <c r="H280" s="11">
        <f t="shared" si="34"/>
        <v>17387.935500000003</v>
      </c>
      <c r="I280" s="13">
        <f t="shared" si="35"/>
        <v>108903.38550000002</v>
      </c>
      <c r="J280" s="11">
        <f t="shared" si="40"/>
        <v>121003.76166666669</v>
      </c>
      <c r="K280" s="12">
        <f t="shared" si="36"/>
        <v>123753.84715909093</v>
      </c>
      <c r="L280" s="12">
        <f t="shared" si="37"/>
        <v>128121.63000000002</v>
      </c>
      <c r="M280" s="12">
        <f t="shared" si="38"/>
        <v>136129.23187500003</v>
      </c>
      <c r="N280" s="12">
        <f t="shared" si="39"/>
        <v>145204.51400000002</v>
      </c>
    </row>
    <row r="281" spans="1:14" ht="22.5" hidden="1" customHeight="1">
      <c r="A281" s="1">
        <v>109609</v>
      </c>
      <c r="B281" s="3" t="s">
        <v>368</v>
      </c>
      <c r="C281" s="1" t="s">
        <v>22</v>
      </c>
      <c r="D281" s="1" t="s">
        <v>23</v>
      </c>
      <c r="E281" s="2">
        <v>148176</v>
      </c>
      <c r="F281" s="1" t="s">
        <v>5</v>
      </c>
      <c r="G281" s="11">
        <f t="shared" si="33"/>
        <v>96314.4</v>
      </c>
      <c r="H281" s="11">
        <f t="shared" si="34"/>
        <v>18299.736000000001</v>
      </c>
      <c r="I281" s="13">
        <f t="shared" si="35"/>
        <v>114614.136</v>
      </c>
      <c r="J281" s="11">
        <f t="shared" si="40"/>
        <v>127349.04</v>
      </c>
      <c r="K281" s="12">
        <f t="shared" si="36"/>
        <v>130243.33636363636</v>
      </c>
      <c r="L281" s="12">
        <f t="shared" si="37"/>
        <v>134840.16</v>
      </c>
      <c r="M281" s="12">
        <f t="shared" si="38"/>
        <v>143267.66999999998</v>
      </c>
      <c r="N281" s="12">
        <f t="shared" si="39"/>
        <v>152818.848</v>
      </c>
    </row>
    <row r="282" spans="1:14" ht="22.5" hidden="1" customHeight="1">
      <c r="A282" s="1">
        <v>109637</v>
      </c>
      <c r="B282" s="3" t="s">
        <v>369</v>
      </c>
      <c r="C282" s="1" t="s">
        <v>18</v>
      </c>
      <c r="D282" s="1" t="s">
        <v>23</v>
      </c>
      <c r="E282" s="2">
        <v>157757</v>
      </c>
      <c r="F282" s="1">
        <v>26</v>
      </c>
      <c r="G282" s="11">
        <f t="shared" si="33"/>
        <v>102542.05</v>
      </c>
      <c r="H282" s="11">
        <f t="shared" si="34"/>
        <v>19482.9895</v>
      </c>
      <c r="I282" s="13">
        <f t="shared" si="35"/>
        <v>122025.0395</v>
      </c>
      <c r="J282" s="11">
        <f t="shared" si="40"/>
        <v>135583.37722222222</v>
      </c>
      <c r="K282" s="12">
        <f t="shared" si="36"/>
        <v>138664.81761363635</v>
      </c>
      <c r="L282" s="12">
        <f t="shared" si="37"/>
        <v>143558.87</v>
      </c>
      <c r="M282" s="12">
        <f t="shared" si="38"/>
        <v>152531.299375</v>
      </c>
      <c r="N282" s="12">
        <f t="shared" si="39"/>
        <v>162700.05266666666</v>
      </c>
    </row>
    <row r="283" spans="1:14" ht="22.5" hidden="1" customHeight="1">
      <c r="A283" s="1">
        <v>109601</v>
      </c>
      <c r="B283" s="3" t="s">
        <v>370</v>
      </c>
      <c r="C283" s="1" t="s">
        <v>18</v>
      </c>
      <c r="D283" s="1" t="s">
        <v>23</v>
      </c>
      <c r="E283" s="2">
        <v>146493</v>
      </c>
      <c r="F283" s="1">
        <v>72</v>
      </c>
      <c r="G283" s="11">
        <f t="shared" si="33"/>
        <v>95220.450000000012</v>
      </c>
      <c r="H283" s="11">
        <f t="shared" si="34"/>
        <v>18091.885500000004</v>
      </c>
      <c r="I283" s="13">
        <f t="shared" si="35"/>
        <v>113312.33550000002</v>
      </c>
      <c r="J283" s="11">
        <f t="shared" si="40"/>
        <v>125902.59500000002</v>
      </c>
      <c r="K283" s="12">
        <f t="shared" si="36"/>
        <v>128764.01761363639</v>
      </c>
      <c r="L283" s="12">
        <f t="shared" si="37"/>
        <v>133308.63000000003</v>
      </c>
      <c r="M283" s="12">
        <f t="shared" si="38"/>
        <v>141640.419375</v>
      </c>
      <c r="N283" s="12">
        <f t="shared" si="39"/>
        <v>151083.11400000003</v>
      </c>
    </row>
    <row r="284" spans="1:14" ht="22.5" hidden="1" customHeight="1">
      <c r="A284" s="1">
        <v>108195</v>
      </c>
      <c r="B284" s="3" t="s">
        <v>371</v>
      </c>
      <c r="C284" s="1" t="s">
        <v>15</v>
      </c>
      <c r="D284" s="1" t="s">
        <v>16</v>
      </c>
      <c r="E284" s="2">
        <v>191130</v>
      </c>
      <c r="F284" s="1">
        <v>3</v>
      </c>
      <c r="G284" s="11">
        <f t="shared" si="33"/>
        <v>124234.5</v>
      </c>
      <c r="H284" s="11">
        <f t="shared" si="34"/>
        <v>23604.555</v>
      </c>
      <c r="I284" s="13">
        <f t="shared" si="35"/>
        <v>147839.05499999999</v>
      </c>
      <c r="J284" s="11">
        <f t="shared" si="40"/>
        <v>164265.61666666667</v>
      </c>
      <c r="K284" s="12">
        <f t="shared" si="36"/>
        <v>167998.92613636362</v>
      </c>
      <c r="L284" s="12">
        <f t="shared" si="37"/>
        <v>173928.3</v>
      </c>
      <c r="M284" s="12">
        <f t="shared" si="38"/>
        <v>184798.81874999998</v>
      </c>
      <c r="N284" s="12">
        <f t="shared" si="39"/>
        <v>197118.74</v>
      </c>
    </row>
    <row r="285" spans="1:14" ht="22.5" hidden="1" customHeight="1">
      <c r="A285" s="1">
        <v>108893</v>
      </c>
      <c r="B285" s="3" t="s">
        <v>372</v>
      </c>
      <c r="C285" s="1" t="s">
        <v>15</v>
      </c>
      <c r="D285" s="1" t="s">
        <v>29</v>
      </c>
      <c r="E285" s="2">
        <v>196363</v>
      </c>
      <c r="F285" s="1">
        <v>75</v>
      </c>
      <c r="G285" s="11">
        <f t="shared" si="33"/>
        <v>127635.95</v>
      </c>
      <c r="H285" s="11">
        <f t="shared" si="34"/>
        <v>24250.8305</v>
      </c>
      <c r="I285" s="13">
        <f t="shared" si="35"/>
        <v>151886.78049999999</v>
      </c>
      <c r="J285" s="11">
        <f t="shared" si="40"/>
        <v>168763.08944444443</v>
      </c>
      <c r="K285" s="12">
        <f t="shared" si="36"/>
        <v>172598.61420454545</v>
      </c>
      <c r="L285" s="12">
        <f t="shared" si="37"/>
        <v>178690.33</v>
      </c>
      <c r="M285" s="12">
        <f t="shared" si="38"/>
        <v>189858.47562499999</v>
      </c>
      <c r="N285" s="12">
        <f t="shared" si="39"/>
        <v>202515.70733333332</v>
      </c>
    </row>
    <row r="286" spans="1:14" ht="22.5" hidden="1" customHeight="1">
      <c r="A286" s="1" t="s">
        <v>373</v>
      </c>
      <c r="B286" s="3" t="s">
        <v>374</v>
      </c>
      <c r="C286" s="1" t="s">
        <v>15</v>
      </c>
      <c r="D286" s="1" t="s">
        <v>69</v>
      </c>
      <c r="E286" s="2">
        <v>239346</v>
      </c>
      <c r="F286" s="1">
        <v>1</v>
      </c>
      <c r="G286" s="11">
        <f t="shared" si="33"/>
        <v>155574.90000000002</v>
      </c>
      <c r="H286" s="11">
        <f t="shared" si="34"/>
        <v>29559.231000000003</v>
      </c>
      <c r="I286" s="13">
        <f t="shared" si="35"/>
        <v>185134.13100000002</v>
      </c>
      <c r="J286" s="11">
        <f t="shared" si="40"/>
        <v>205704.59000000003</v>
      </c>
      <c r="K286" s="12">
        <f t="shared" si="36"/>
        <v>210379.69431818184</v>
      </c>
      <c r="L286" s="12">
        <f t="shared" si="37"/>
        <v>217804.86000000004</v>
      </c>
      <c r="M286" s="12">
        <f t="shared" si="38"/>
        <v>231417.66375000001</v>
      </c>
      <c r="N286" s="12">
        <f t="shared" si="39"/>
        <v>246845.50800000003</v>
      </c>
    </row>
    <row r="287" spans="1:14" ht="22.5" hidden="1" customHeight="1">
      <c r="A287" s="1">
        <v>111482</v>
      </c>
      <c r="B287" s="3" t="s">
        <v>375</v>
      </c>
      <c r="C287" s="1" t="s">
        <v>18</v>
      </c>
      <c r="D287" s="1" t="s">
        <v>19</v>
      </c>
      <c r="E287" s="2">
        <v>226946</v>
      </c>
      <c r="F287" s="1" t="s">
        <v>5</v>
      </c>
      <c r="G287" s="11">
        <f t="shared" si="33"/>
        <v>147514.90000000002</v>
      </c>
      <c r="H287" s="11">
        <f t="shared" si="34"/>
        <v>28027.831000000006</v>
      </c>
      <c r="I287" s="13">
        <f t="shared" si="35"/>
        <v>175542.73100000003</v>
      </c>
      <c r="J287" s="11">
        <f t="shared" si="40"/>
        <v>195047.47888888893</v>
      </c>
      <c r="K287" s="12">
        <f t="shared" si="36"/>
        <v>199480.37613636366</v>
      </c>
      <c r="L287" s="12">
        <f t="shared" si="37"/>
        <v>206520.86000000004</v>
      </c>
      <c r="M287" s="12">
        <f t="shared" si="38"/>
        <v>219428.41375000004</v>
      </c>
      <c r="N287" s="12">
        <f t="shared" si="39"/>
        <v>234056.97466666671</v>
      </c>
    </row>
    <row r="288" spans="1:14" ht="22.5" hidden="1" customHeight="1">
      <c r="A288" s="1">
        <v>109699</v>
      </c>
      <c r="B288" s="3" t="s">
        <v>376</v>
      </c>
      <c r="C288" s="1" t="s">
        <v>18</v>
      </c>
      <c r="D288" s="1" t="s">
        <v>23</v>
      </c>
      <c r="E288" s="2">
        <v>216546</v>
      </c>
      <c r="F288" s="1">
        <v>42</v>
      </c>
      <c r="G288" s="11">
        <f t="shared" si="33"/>
        <v>140754.90000000002</v>
      </c>
      <c r="H288" s="11">
        <f t="shared" si="34"/>
        <v>26743.431000000004</v>
      </c>
      <c r="I288" s="13">
        <f t="shared" si="35"/>
        <v>167498.33100000003</v>
      </c>
      <c r="J288" s="11">
        <f t="shared" si="40"/>
        <v>186109.25666666671</v>
      </c>
      <c r="K288" s="12">
        <f t="shared" si="36"/>
        <v>190339.01250000004</v>
      </c>
      <c r="L288" s="12">
        <f t="shared" si="37"/>
        <v>197056.86000000004</v>
      </c>
      <c r="M288" s="12">
        <f t="shared" si="38"/>
        <v>209372.91375000004</v>
      </c>
      <c r="N288" s="12">
        <f t="shared" si="39"/>
        <v>223331.10800000004</v>
      </c>
    </row>
    <row r="289" spans="1:14" ht="22.5" hidden="1" customHeight="1">
      <c r="A289" s="1">
        <v>110123</v>
      </c>
      <c r="B289" s="3" t="s">
        <v>377</v>
      </c>
      <c r="C289" s="1" t="s">
        <v>18</v>
      </c>
      <c r="D289" s="1" t="s">
        <v>29</v>
      </c>
      <c r="E289" s="2">
        <v>201175</v>
      </c>
      <c r="F289" s="1">
        <v>38</v>
      </c>
      <c r="G289" s="11">
        <f t="shared" si="33"/>
        <v>130763.75</v>
      </c>
      <c r="H289" s="11">
        <f t="shared" si="34"/>
        <v>24845.112499999999</v>
      </c>
      <c r="I289" s="13">
        <f t="shared" si="35"/>
        <v>155608.86249999999</v>
      </c>
      <c r="J289" s="11">
        <f t="shared" si="40"/>
        <v>172898.73611111109</v>
      </c>
      <c r="K289" s="12">
        <f t="shared" si="36"/>
        <v>176828.25284090909</v>
      </c>
      <c r="L289" s="12">
        <f t="shared" si="37"/>
        <v>183069.25</v>
      </c>
      <c r="M289" s="12">
        <f t="shared" si="38"/>
        <v>194511.07812499997</v>
      </c>
      <c r="N289" s="12">
        <f t="shared" si="39"/>
        <v>207478.48333333331</v>
      </c>
    </row>
    <row r="290" spans="1:14" ht="22.5" hidden="1" customHeight="1">
      <c r="A290" s="1">
        <v>108811</v>
      </c>
      <c r="B290" s="3" t="s">
        <v>378</v>
      </c>
      <c r="C290" s="1" t="s">
        <v>18</v>
      </c>
      <c r="D290" s="1" t="s">
        <v>23</v>
      </c>
      <c r="E290" s="2">
        <v>209477</v>
      </c>
      <c r="F290" s="1">
        <v>1</v>
      </c>
      <c r="G290" s="11">
        <f t="shared" si="33"/>
        <v>136160.04999999999</v>
      </c>
      <c r="H290" s="11">
        <f t="shared" si="34"/>
        <v>25870.409499999998</v>
      </c>
      <c r="I290" s="13">
        <f t="shared" si="35"/>
        <v>162030.4595</v>
      </c>
      <c r="J290" s="11">
        <f t="shared" si="40"/>
        <v>180033.84388888889</v>
      </c>
      <c r="K290" s="12">
        <f t="shared" si="36"/>
        <v>184125.52215909091</v>
      </c>
      <c r="L290" s="12">
        <f t="shared" si="37"/>
        <v>190624.07</v>
      </c>
      <c r="M290" s="12">
        <f t="shared" si="38"/>
        <v>202538.074375</v>
      </c>
      <c r="N290" s="12">
        <f t="shared" si="39"/>
        <v>216040.61266666665</v>
      </c>
    </row>
    <row r="291" spans="1:14" ht="22.5" hidden="1" customHeight="1">
      <c r="A291" s="1">
        <v>150433</v>
      </c>
      <c r="B291" s="3" t="s">
        <v>379</v>
      </c>
      <c r="C291" s="1" t="s">
        <v>18</v>
      </c>
      <c r="D291" s="1" t="s">
        <v>23</v>
      </c>
      <c r="E291" s="2">
        <v>249438</v>
      </c>
      <c r="F291" s="1">
        <v>29</v>
      </c>
      <c r="G291" s="11">
        <f t="shared" si="33"/>
        <v>162134.70000000001</v>
      </c>
      <c r="H291" s="11">
        <f t="shared" si="34"/>
        <v>30805.593000000001</v>
      </c>
      <c r="I291" s="13">
        <f t="shared" si="35"/>
        <v>192940.29300000001</v>
      </c>
      <c r="J291" s="11">
        <f t="shared" si="40"/>
        <v>214378.10333333333</v>
      </c>
      <c r="K291" s="12">
        <f t="shared" si="36"/>
        <v>219250.33295454545</v>
      </c>
      <c r="L291" s="12">
        <f t="shared" si="37"/>
        <v>226988.58000000002</v>
      </c>
      <c r="M291" s="12">
        <f t="shared" si="38"/>
        <v>241175.36624999999</v>
      </c>
      <c r="N291" s="12">
        <f t="shared" si="39"/>
        <v>257253.72400000002</v>
      </c>
    </row>
    <row r="292" spans="1:14" ht="22.5" hidden="1" customHeight="1">
      <c r="A292" s="1">
        <v>110553</v>
      </c>
      <c r="B292" s="3" t="s">
        <v>380</v>
      </c>
      <c r="C292" s="1" t="s">
        <v>18</v>
      </c>
      <c r="D292" s="1" t="s">
        <v>29</v>
      </c>
      <c r="E292" s="2">
        <v>271957</v>
      </c>
      <c r="F292" s="1">
        <v>61</v>
      </c>
      <c r="G292" s="11">
        <f t="shared" si="33"/>
        <v>176772.05</v>
      </c>
      <c r="H292" s="11">
        <f t="shared" si="34"/>
        <v>33586.6895</v>
      </c>
      <c r="I292" s="13">
        <f t="shared" si="35"/>
        <v>210358.7395</v>
      </c>
      <c r="J292" s="11">
        <f t="shared" si="40"/>
        <v>233731.93277777778</v>
      </c>
      <c r="K292" s="12">
        <f t="shared" si="36"/>
        <v>239044.02215909091</v>
      </c>
      <c r="L292" s="12">
        <f t="shared" si="37"/>
        <v>247480.87</v>
      </c>
      <c r="M292" s="12">
        <f t="shared" si="38"/>
        <v>262948.424375</v>
      </c>
      <c r="N292" s="12">
        <f t="shared" si="39"/>
        <v>280478.31933333335</v>
      </c>
    </row>
    <row r="293" spans="1:14" ht="22.5" hidden="1" customHeight="1">
      <c r="A293" s="1">
        <v>109653</v>
      </c>
      <c r="B293" s="3" t="s">
        <v>381</v>
      </c>
      <c r="C293" s="1" t="s">
        <v>15</v>
      </c>
      <c r="D293" s="1" t="s">
        <v>29</v>
      </c>
      <c r="E293" s="2">
        <v>152125</v>
      </c>
      <c r="F293" s="1">
        <v>22</v>
      </c>
      <c r="G293" s="11">
        <f t="shared" si="33"/>
        <v>98881.25</v>
      </c>
      <c r="H293" s="11">
        <f t="shared" si="34"/>
        <v>18787.4375</v>
      </c>
      <c r="I293" s="13">
        <f t="shared" si="35"/>
        <v>117668.6875</v>
      </c>
      <c r="J293" s="11">
        <f t="shared" si="40"/>
        <v>130742.98611111111</v>
      </c>
      <c r="K293" s="12">
        <f t="shared" si="36"/>
        <v>133714.41761363635</v>
      </c>
      <c r="L293" s="12">
        <f t="shared" si="37"/>
        <v>138433.75</v>
      </c>
      <c r="M293" s="12">
        <f t="shared" si="38"/>
        <v>147085.859375</v>
      </c>
      <c r="N293" s="12">
        <f t="shared" si="39"/>
        <v>156891.58333333334</v>
      </c>
    </row>
    <row r="294" spans="1:14" ht="22.5" hidden="1" customHeight="1">
      <c r="A294" s="1">
        <v>108666</v>
      </c>
      <c r="B294" s="3" t="s">
        <v>382</v>
      </c>
      <c r="C294" s="1" t="s">
        <v>15</v>
      </c>
      <c r="D294" s="1" t="s">
        <v>16</v>
      </c>
      <c r="E294" s="2">
        <v>210211</v>
      </c>
      <c r="F294" s="1">
        <v>1</v>
      </c>
      <c r="G294" s="11">
        <f t="shared" si="33"/>
        <v>136637.15000000002</v>
      </c>
      <c r="H294" s="11">
        <f t="shared" si="34"/>
        <v>25961.058500000006</v>
      </c>
      <c r="I294" s="13">
        <f t="shared" si="35"/>
        <v>162598.20850000004</v>
      </c>
      <c r="J294" s="11">
        <f t="shared" si="40"/>
        <v>180664.67611111116</v>
      </c>
      <c r="K294" s="12">
        <f t="shared" si="36"/>
        <v>184770.69147727278</v>
      </c>
      <c r="L294" s="12">
        <f t="shared" si="37"/>
        <v>191292.01000000004</v>
      </c>
      <c r="M294" s="12">
        <f t="shared" si="38"/>
        <v>203247.76062500002</v>
      </c>
      <c r="N294" s="12">
        <f t="shared" si="39"/>
        <v>216797.61133333339</v>
      </c>
    </row>
    <row r="295" spans="1:14" ht="22.5" hidden="1" customHeight="1">
      <c r="A295" s="1">
        <v>112798</v>
      </c>
      <c r="B295" s="3" t="s">
        <v>383</v>
      </c>
      <c r="C295" s="1" t="s">
        <v>18</v>
      </c>
      <c r="D295" s="1" t="s">
        <v>79</v>
      </c>
      <c r="E295" s="2">
        <v>250408</v>
      </c>
      <c r="F295" s="1">
        <v>1</v>
      </c>
      <c r="G295" s="11">
        <f t="shared" si="33"/>
        <v>162765.20000000001</v>
      </c>
      <c r="H295" s="11">
        <f t="shared" si="34"/>
        <v>30925.388000000003</v>
      </c>
      <c r="I295" s="13">
        <f t="shared" si="35"/>
        <v>193690.58800000002</v>
      </c>
      <c r="J295" s="11">
        <f t="shared" si="40"/>
        <v>215211.76444444444</v>
      </c>
      <c r="K295" s="12">
        <f t="shared" si="36"/>
        <v>220102.94090909092</v>
      </c>
      <c r="L295" s="12">
        <f t="shared" si="37"/>
        <v>227871.28000000003</v>
      </c>
      <c r="M295" s="12">
        <f t="shared" si="38"/>
        <v>242113.23500000002</v>
      </c>
      <c r="N295" s="12">
        <f t="shared" si="39"/>
        <v>258254.11733333336</v>
      </c>
    </row>
    <row r="296" spans="1:14" ht="22.5" hidden="1" customHeight="1">
      <c r="A296" s="1">
        <v>111481</v>
      </c>
      <c r="B296" s="3" t="s">
        <v>384</v>
      </c>
      <c r="C296" s="1" t="s">
        <v>18</v>
      </c>
      <c r="D296" s="1" t="s">
        <v>19</v>
      </c>
      <c r="E296" s="2">
        <v>247489</v>
      </c>
      <c r="F296" s="1">
        <v>1</v>
      </c>
      <c r="G296" s="11">
        <f t="shared" si="33"/>
        <v>160867.85</v>
      </c>
      <c r="H296" s="11">
        <f t="shared" si="34"/>
        <v>30564.891500000002</v>
      </c>
      <c r="I296" s="13">
        <f t="shared" si="35"/>
        <v>191432.7415</v>
      </c>
      <c r="J296" s="11">
        <f t="shared" si="40"/>
        <v>212703.04611111112</v>
      </c>
      <c r="K296" s="12">
        <f t="shared" si="36"/>
        <v>217537.20625000002</v>
      </c>
      <c r="L296" s="12">
        <f t="shared" si="37"/>
        <v>225214.99000000002</v>
      </c>
      <c r="M296" s="12">
        <f t="shared" si="38"/>
        <v>239290.926875</v>
      </c>
      <c r="N296" s="12">
        <f t="shared" si="39"/>
        <v>255243.65533333333</v>
      </c>
    </row>
    <row r="297" spans="1:14" ht="22.5" hidden="1" customHeight="1">
      <c r="A297" s="1">
        <v>109603</v>
      </c>
      <c r="B297" s="3" t="s">
        <v>385</v>
      </c>
      <c r="C297" s="1" t="s">
        <v>15</v>
      </c>
      <c r="D297" s="1" t="s">
        <v>23</v>
      </c>
      <c r="E297" s="2">
        <v>233335</v>
      </c>
      <c r="F297" s="1">
        <v>1</v>
      </c>
      <c r="G297" s="11">
        <f t="shared" si="33"/>
        <v>151667.75</v>
      </c>
      <c r="H297" s="11">
        <f t="shared" si="34"/>
        <v>28816.872500000001</v>
      </c>
      <c r="I297" s="13">
        <f t="shared" si="35"/>
        <v>180484.6225</v>
      </c>
      <c r="J297" s="11">
        <f t="shared" si="40"/>
        <v>200538.46944444443</v>
      </c>
      <c r="K297" s="12">
        <f t="shared" si="36"/>
        <v>205096.16193181818</v>
      </c>
      <c r="L297" s="12">
        <f t="shared" si="37"/>
        <v>212334.85</v>
      </c>
      <c r="M297" s="12">
        <f t="shared" si="38"/>
        <v>225605.77812499998</v>
      </c>
      <c r="N297" s="12">
        <f t="shared" si="39"/>
        <v>240646.16333333333</v>
      </c>
    </row>
    <row r="298" spans="1:14" ht="22.5" hidden="1" customHeight="1">
      <c r="A298" s="1">
        <v>109611</v>
      </c>
      <c r="B298" s="3" t="s">
        <v>386</v>
      </c>
      <c r="C298" s="1" t="s">
        <v>25</v>
      </c>
      <c r="D298" s="1" t="s">
        <v>23</v>
      </c>
      <c r="E298" s="2">
        <v>219408</v>
      </c>
      <c r="F298" s="1">
        <v>1</v>
      </c>
      <c r="G298" s="11">
        <f t="shared" si="33"/>
        <v>142615.20000000001</v>
      </c>
      <c r="H298" s="11">
        <f t="shared" si="34"/>
        <v>27096.888000000003</v>
      </c>
      <c r="I298" s="13">
        <f t="shared" si="35"/>
        <v>169712.08800000002</v>
      </c>
      <c r="J298" s="11">
        <f t="shared" si="40"/>
        <v>188568.98666666669</v>
      </c>
      <c r="K298" s="12">
        <f t="shared" si="36"/>
        <v>192854.64545454548</v>
      </c>
      <c r="L298" s="12">
        <f t="shared" si="37"/>
        <v>199661.28000000003</v>
      </c>
      <c r="M298" s="12">
        <f t="shared" si="38"/>
        <v>212140.11000000002</v>
      </c>
      <c r="N298" s="12">
        <f t="shared" si="39"/>
        <v>226282.78400000001</v>
      </c>
    </row>
    <row r="299" spans="1:14" ht="22.5" hidden="1" customHeight="1">
      <c r="A299" s="1">
        <v>108719</v>
      </c>
      <c r="B299" s="3" t="s">
        <v>387</v>
      </c>
      <c r="C299" s="1" t="s">
        <v>18</v>
      </c>
      <c r="D299" s="1" t="s">
        <v>23</v>
      </c>
      <c r="E299" s="2">
        <v>349869</v>
      </c>
      <c r="F299" s="1">
        <v>18</v>
      </c>
      <c r="G299" s="11">
        <f t="shared" si="33"/>
        <v>227414.85</v>
      </c>
      <c r="H299" s="11">
        <f t="shared" si="34"/>
        <v>43208.821499999998</v>
      </c>
      <c r="I299" s="13">
        <f t="shared" si="35"/>
        <v>270623.6715</v>
      </c>
      <c r="J299" s="11">
        <f t="shared" si="40"/>
        <v>300692.96833333332</v>
      </c>
      <c r="K299" s="12">
        <f t="shared" si="36"/>
        <v>307526.89943181816</v>
      </c>
      <c r="L299" s="12">
        <f t="shared" si="37"/>
        <v>318380.78999999998</v>
      </c>
      <c r="M299" s="12">
        <f t="shared" si="38"/>
        <v>338279.58937499998</v>
      </c>
      <c r="N299" s="12">
        <f t="shared" si="39"/>
        <v>360831.56199999998</v>
      </c>
    </row>
    <row r="300" spans="1:14" hidden="1">
      <c r="J300" s="11">
        <f t="shared" ref="J300:J331" si="41">I300/(1-10%)</f>
        <v>0</v>
      </c>
    </row>
    <row r="301" spans="1:14" hidden="1">
      <c r="J301" s="11">
        <f t="shared" si="41"/>
        <v>0</v>
      </c>
    </row>
    <row r="302" spans="1:14" hidden="1">
      <c r="J302" s="11">
        <f t="shared" si="41"/>
        <v>0</v>
      </c>
    </row>
    <row r="303" spans="1:14" hidden="1">
      <c r="J303" s="11">
        <f t="shared" si="41"/>
        <v>0</v>
      </c>
    </row>
    <row r="304" spans="1:14" hidden="1">
      <c r="J304" s="11">
        <f t="shared" si="41"/>
        <v>0</v>
      </c>
    </row>
    <row r="305" spans="10:10" hidden="1">
      <c r="J305" s="11">
        <f t="shared" si="41"/>
        <v>0</v>
      </c>
    </row>
    <row r="306" spans="10:10" hidden="1">
      <c r="J306" s="11">
        <f t="shared" si="41"/>
        <v>0</v>
      </c>
    </row>
    <row r="307" spans="10:10" hidden="1">
      <c r="J307" s="11">
        <f t="shared" si="41"/>
        <v>0</v>
      </c>
    </row>
    <row r="308" spans="10:10" hidden="1">
      <c r="J308" s="11">
        <f t="shared" si="41"/>
        <v>0</v>
      </c>
    </row>
    <row r="309" spans="10:10" hidden="1">
      <c r="J309" s="11">
        <f t="shared" si="41"/>
        <v>0</v>
      </c>
    </row>
    <row r="310" spans="10:10" hidden="1">
      <c r="J310" s="11">
        <f t="shared" si="41"/>
        <v>0</v>
      </c>
    </row>
    <row r="311" spans="10:10" hidden="1">
      <c r="J311" s="11">
        <f t="shared" si="41"/>
        <v>0</v>
      </c>
    </row>
    <row r="312" spans="10:10" hidden="1">
      <c r="J312" s="11">
        <f t="shared" si="41"/>
        <v>0</v>
      </c>
    </row>
    <row r="313" spans="10:10" hidden="1">
      <c r="J313" s="11">
        <f t="shared" si="41"/>
        <v>0</v>
      </c>
    </row>
    <row r="314" spans="10:10" hidden="1">
      <c r="J314" s="11">
        <f t="shared" si="41"/>
        <v>0</v>
      </c>
    </row>
    <row r="315" spans="10:10" hidden="1">
      <c r="J315" s="11">
        <f t="shared" si="41"/>
        <v>0</v>
      </c>
    </row>
    <row r="316" spans="10:10" hidden="1">
      <c r="J316" s="11">
        <f t="shared" si="41"/>
        <v>0</v>
      </c>
    </row>
    <row r="317" spans="10:10" hidden="1">
      <c r="J317" s="11">
        <f t="shared" si="41"/>
        <v>0</v>
      </c>
    </row>
    <row r="318" spans="10:10" hidden="1">
      <c r="J318" s="11">
        <f t="shared" si="41"/>
        <v>0</v>
      </c>
    </row>
    <row r="319" spans="10:10" hidden="1">
      <c r="J319" s="11">
        <f t="shared" si="41"/>
        <v>0</v>
      </c>
    </row>
    <row r="320" spans="10:10" hidden="1">
      <c r="J320" s="11">
        <f t="shared" si="41"/>
        <v>0</v>
      </c>
    </row>
    <row r="321" spans="10:10" hidden="1">
      <c r="J321" s="11">
        <f t="shared" si="41"/>
        <v>0</v>
      </c>
    </row>
    <row r="322" spans="10:10" hidden="1">
      <c r="J322" s="11">
        <f t="shared" si="41"/>
        <v>0</v>
      </c>
    </row>
    <row r="323" spans="10:10" hidden="1">
      <c r="J323" s="11">
        <f t="shared" si="41"/>
        <v>0</v>
      </c>
    </row>
    <row r="324" spans="10:10" hidden="1">
      <c r="J324" s="11">
        <f t="shared" si="41"/>
        <v>0</v>
      </c>
    </row>
    <row r="325" spans="10:10" hidden="1">
      <c r="J325" s="11">
        <f t="shared" si="41"/>
        <v>0</v>
      </c>
    </row>
    <row r="326" spans="10:10" hidden="1">
      <c r="J326" s="11">
        <f t="shared" si="41"/>
        <v>0</v>
      </c>
    </row>
    <row r="327" spans="10:10" hidden="1">
      <c r="J327" s="11">
        <f t="shared" si="41"/>
        <v>0</v>
      </c>
    </row>
    <row r="328" spans="10:10" hidden="1">
      <c r="J328" s="11">
        <f t="shared" si="41"/>
        <v>0</v>
      </c>
    </row>
    <row r="329" spans="10:10" hidden="1">
      <c r="J329" s="11">
        <f t="shared" si="41"/>
        <v>0</v>
      </c>
    </row>
    <row r="330" spans="10:10" hidden="1">
      <c r="J330" s="11">
        <f t="shared" si="41"/>
        <v>0</v>
      </c>
    </row>
    <row r="331" spans="10:10" hidden="1">
      <c r="J331" s="11">
        <f t="shared" si="41"/>
        <v>0</v>
      </c>
    </row>
  </sheetData>
  <autoFilter ref="A1:N331" xr:uid="{01E629BC-BF5A-4AF5-BD58-1D668DEC2E01}">
    <filterColumn colId="1">
      <filters>
        <filter val="(No vacías)"/>
        <filter val="NEUMATICO 295/80 R22.5 152/148M 18PR GRT880"/>
        <filter val="NEUMATICO 295/80 R22.5 152/148M GRT800"/>
        <filter val="NEUMATICO 295/80 R22.5 152/148M V-STEEL RIB R156 (PRUEBA)"/>
        <filter val="NEUMATICO 295/80 R22.5 152/149J TRANS MASTER EDM370"/>
        <filter val="NEUMATICO 295/80 R22.5 152/149K TRANS MASTER EDM360"/>
        <filter val="NEUMATICO 295/80 R22.5 152/149L 16PR XMULTID2"/>
        <filter val="NEUMATICO 295/80 R22.5 152/149L TRANS MASTER EDL320"/>
        <filter val="NEUMATICO 295/80 R22.5 152/149M TRANS MASTER EAM260 PR18"/>
        <filter val="NEUMATICO 295/80 R22.5 152/149M TRANS MASTER ESL220"/>
        <filter val="NEUMATICO 295/80 R22.5 152M SP431A"/>
        <filter val="NEUMATICO 295/80 R22.5 16PR LL-F02"/>
        <filter val="NEUMATICO 295/80 R22.5 16PR TR601H"/>
        <filter val="NEUMATICO 295/80 R22.5 16PR TR-668"/>
        <filter val="NEUMATICO 295/80 R22.5 16PR TR-688 M+S"/>
        <filter val="NEUMATICO 295/80 R22.5 16PR TR-691"/>
        <filter val="NEUMATICO 295/80 R22.5 16PR TRD06 M+S"/>
        <filter val="NEUMATICO 295/80 R22.5 18 GL665A"/>
        <filter val="NEUMATICO 295/80 R22.5 18PR 152/148M 755"/>
        <filter val="NEUMATICO 295/80 R22.5 18PR 152/149 DA262"/>
        <filter val="NEUMATICO 295/80 R22.5 18PR 152/149M FA656 (NEW)"/>
        <filter val="NEUMATICO 295/80 R22.5 18PR AT161W GOLDENCROWN"/>
        <filter val="NEUMATICO 295/80 R22.5 18PR AZ126TW GOLDENCROWN"/>
        <filter val="NEUMATICO 295/80 R22.5 18PR CM997 CHAOYANG TL"/>
        <filter val="NEUMATICO 295/80 R22.5 18PR F-860 152/149M TL LL HB"/>
        <filter val="NEUMATICO 295/80 R22.5 18PR HF660"/>
        <filter val="NEUMATICO 295/80 R22.5 18PR HO 368 152/149 M"/>
        <filter val="NEUMATICO 295/80 R22.5 18PR HO602xs"/>
        <filter val="NEUMATICO 295/80 R22.5 18PR HO605xs M+S"/>
        <filter val="NEUMATICO 295/80 R22.5 18PR LAU 802 152/149J LL HB M+S"/>
        <filter val="NEUMATICO 295/80 R22.5 18PR MD-738 M+S GOOD / CHAOYANG"/>
        <filter val="NEUMATICO 295/80 R22.5 18PR TR668"/>
        <filter val="NEUMATICO 295/80 R22.5 18PR TR686"/>
        <filter val="NEUMATICO 295/80 R22.5 18PR TR688"/>
        <filter val="NEUMATICO 295/80 R22.5 18PR TR918"/>
        <filter val="NEUMATICO 295/80 R22.5 18PR TRA01"/>
        <filter val="NEUMATICO 295/80 R22.5 18PR TRD09 M+S"/>
        <filter val="NEUMATICO 295/80 R22.5 20PR 152/149L LDL186"/>
        <filter val="NEUMATICO 295/80 R22.5 20PR 152/149M TR663"/>
        <filter val="NEUMATICO 295/80 R22.5 5152/148 LM+S PLUS FG:01"/>
        <filter val="NEUMATICO 295/80 R22.5 AVENTUS WH200"/>
        <filter val="NEUMATICO 295/80 R22.5 CHD3 16PE 154/148M"/>
        <filter val="NEUMATICO 295/80 R22.5 FD600 PR16"/>
        <filter val="NEUMATICO 295/80 R22.5 FS440Z PR16"/>
        <filter val="NEUMATICO 295/80 R22.5 M840 PR16"/>
        <filter val="NEUMATICO 295/80 R22.5 MULTI Z2 TL"/>
        <filter val="NEUMATICO 295/80 R22.5 PR16 152/148M BRIDGESTONE M765 TRAC ON"/>
        <filter val="NEUMATICO 295/80 R22.5 PR18 152/149L DOVROAD DD662 TRAC ON-OFF"/>
        <filter val="NEUMATICO 295/80 R22.5 PR18 152/149L DOVROAD DF182 DIREC ON"/>
        <filter val="NEUMATICO 295/80 R22.5 PR20 152/149J TRIANGLE TR918 TRAC ON-OFF"/>
        <filter val="NEUMATICO 295/80 R22.5 SP320"/>
        <filter val="NEUMATICO 295/80 R22.5 X WORKS Z TL 152/148K"/>
        <filter val="NEUMATICO 295/80 R22.5-16 GL665A TL SAMSON EN"/>
      </filters>
    </filterColumn>
    <filterColumn colId="2">
      <filters>
        <filter val="DIR-ON"/>
      </filters>
    </filterColumn>
    <filterColumn colId="5">
      <filters>
        <filter val="27"/>
        <filter val="33"/>
        <filter val="63"/>
        <filter val="DISPONIBLE"/>
      </filters>
    </filterColumn>
  </autoFilter>
  <sortState xmlns:xlrd2="http://schemas.microsoft.com/office/spreadsheetml/2017/richdata2" ref="A2:F301">
    <sortCondition ref="B1:B3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D55AD-F93D-4D58-B452-5814A015C7B5}">
  <dimension ref="A1:F172"/>
  <sheetViews>
    <sheetView workbookViewId="0">
      <pane ySplit="1" topLeftCell="A2" activePane="bottomLeft" state="frozen"/>
      <selection pane="bottomLeft" activeCell="J11" sqref="J11:J12"/>
    </sheetView>
  </sheetViews>
  <sheetFormatPr defaultColWidth="11.42578125" defaultRowHeight="14.45"/>
  <cols>
    <col min="1" max="1" width="10.85546875" style="1"/>
    <col min="2" max="2" width="40.42578125" style="3" customWidth="1"/>
    <col min="3" max="3" width="14.140625" style="1" customWidth="1"/>
    <col min="4" max="4" width="28.140625" style="3" customWidth="1"/>
    <col min="5" max="5" width="10.85546875" style="6"/>
    <col min="6" max="6" width="10.85546875" style="1"/>
  </cols>
  <sheetData>
    <row r="1" spans="1:6">
      <c r="A1" s="4" t="s">
        <v>0</v>
      </c>
      <c r="B1" s="4" t="s">
        <v>1</v>
      </c>
      <c r="C1" s="4" t="s">
        <v>3</v>
      </c>
      <c r="D1" s="4" t="s">
        <v>388</v>
      </c>
      <c r="E1" s="4" t="s">
        <v>4</v>
      </c>
      <c r="F1" s="4" t="s">
        <v>5</v>
      </c>
    </row>
    <row r="2" spans="1:6">
      <c r="A2" s="1">
        <v>110242</v>
      </c>
      <c r="B2" s="3" t="s">
        <v>389</v>
      </c>
      <c r="C2" s="1" t="s">
        <v>34</v>
      </c>
      <c r="D2" s="3" t="s">
        <v>390</v>
      </c>
      <c r="E2" s="5">
        <v>82435</v>
      </c>
      <c r="F2" s="1">
        <v>91</v>
      </c>
    </row>
    <row r="3" spans="1:6">
      <c r="A3" s="1">
        <v>109634</v>
      </c>
      <c r="B3" s="3" t="s">
        <v>391</v>
      </c>
      <c r="C3" s="1" t="s">
        <v>23</v>
      </c>
      <c r="D3" s="3" t="s">
        <v>392</v>
      </c>
      <c r="E3" s="5">
        <v>241424</v>
      </c>
      <c r="F3" s="1">
        <v>23</v>
      </c>
    </row>
    <row r="4" spans="1:6">
      <c r="A4" s="1">
        <v>111405</v>
      </c>
      <c r="B4" s="3" t="s">
        <v>393</v>
      </c>
      <c r="C4" s="1" t="s">
        <v>16</v>
      </c>
      <c r="D4" s="3" t="s">
        <v>394</v>
      </c>
      <c r="E4" s="5">
        <v>511919</v>
      </c>
      <c r="F4" s="1">
        <v>62</v>
      </c>
    </row>
    <row r="5" spans="1:6">
      <c r="A5" s="1">
        <v>110615</v>
      </c>
      <c r="B5" s="3" t="s">
        <v>395</v>
      </c>
      <c r="C5" s="1" t="s">
        <v>34</v>
      </c>
      <c r="D5" s="3" t="s">
        <v>394</v>
      </c>
      <c r="E5" s="5">
        <v>427902</v>
      </c>
      <c r="F5" s="1">
        <v>17</v>
      </c>
    </row>
    <row r="6" spans="1:6">
      <c r="A6" s="1">
        <v>110956</v>
      </c>
      <c r="B6" s="3" t="s">
        <v>396</v>
      </c>
      <c r="C6" s="1" t="s">
        <v>16</v>
      </c>
      <c r="D6" s="3" t="s">
        <v>394</v>
      </c>
      <c r="E6" s="5">
        <v>883915</v>
      </c>
      <c r="F6" s="1">
        <v>16</v>
      </c>
    </row>
    <row r="7" spans="1:6">
      <c r="A7" s="1">
        <v>110232</v>
      </c>
      <c r="B7" s="3" t="s">
        <v>397</v>
      </c>
      <c r="C7" s="1" t="s">
        <v>34</v>
      </c>
      <c r="D7" s="3" t="s">
        <v>392</v>
      </c>
      <c r="E7" s="5">
        <v>197007</v>
      </c>
      <c r="F7" s="1">
        <v>3</v>
      </c>
    </row>
    <row r="8" spans="1:6">
      <c r="A8" s="1">
        <v>112291</v>
      </c>
      <c r="B8" s="3" t="s">
        <v>398</v>
      </c>
      <c r="C8" s="1" t="s">
        <v>16</v>
      </c>
      <c r="D8" s="3" t="s">
        <v>392</v>
      </c>
      <c r="E8" s="5">
        <v>128867</v>
      </c>
      <c r="F8" s="1">
        <v>30</v>
      </c>
    </row>
    <row r="9" spans="1:6">
      <c r="A9" s="1">
        <v>110976</v>
      </c>
      <c r="B9" s="3" t="s">
        <v>399</v>
      </c>
      <c r="C9" s="1" t="s">
        <v>34</v>
      </c>
      <c r="D9" s="3" t="s">
        <v>392</v>
      </c>
      <c r="E9" s="5">
        <v>182183</v>
      </c>
      <c r="F9" s="1">
        <v>4</v>
      </c>
    </row>
    <row r="10" spans="1:6">
      <c r="A10" s="1">
        <v>108223</v>
      </c>
      <c r="B10" s="3" t="s">
        <v>400</v>
      </c>
      <c r="C10" s="1" t="s">
        <v>16</v>
      </c>
      <c r="D10" s="3" t="s">
        <v>392</v>
      </c>
      <c r="E10" s="5">
        <v>221265</v>
      </c>
      <c r="F10" s="1">
        <v>46</v>
      </c>
    </row>
    <row r="11" spans="1:6">
      <c r="A11" s="1">
        <v>110476</v>
      </c>
      <c r="B11" s="3" t="s">
        <v>401</v>
      </c>
      <c r="C11" s="1" t="s">
        <v>23</v>
      </c>
      <c r="D11" s="3" t="s">
        <v>392</v>
      </c>
      <c r="E11" s="5">
        <v>154388</v>
      </c>
      <c r="F11" s="1">
        <v>12</v>
      </c>
    </row>
    <row r="12" spans="1:6">
      <c r="A12" s="1" t="s">
        <v>402</v>
      </c>
      <c r="B12" s="3" t="s">
        <v>403</v>
      </c>
      <c r="C12" s="1" t="s">
        <v>86</v>
      </c>
      <c r="D12" s="3" t="s">
        <v>392</v>
      </c>
      <c r="E12" s="5">
        <v>273746</v>
      </c>
      <c r="F12" s="1">
        <v>18</v>
      </c>
    </row>
    <row r="13" spans="1:6">
      <c r="A13" s="1">
        <v>110597</v>
      </c>
      <c r="B13" s="3" t="s">
        <v>404</v>
      </c>
      <c r="C13" s="1" t="s">
        <v>34</v>
      </c>
      <c r="D13" s="3" t="s">
        <v>405</v>
      </c>
      <c r="E13" s="5">
        <v>498010</v>
      </c>
      <c r="F13" s="1">
        <v>13</v>
      </c>
    </row>
    <row r="14" spans="1:6">
      <c r="A14" s="1">
        <v>112465</v>
      </c>
      <c r="B14" s="3" t="s">
        <v>406</v>
      </c>
      <c r="C14" s="1" t="s">
        <v>34</v>
      </c>
      <c r="D14" s="3" t="s">
        <v>405</v>
      </c>
      <c r="E14" s="5">
        <v>450733</v>
      </c>
      <c r="F14" s="1">
        <v>11</v>
      </c>
    </row>
    <row r="15" spans="1:6">
      <c r="A15" s="1">
        <v>110977</v>
      </c>
      <c r="B15" s="3" t="s">
        <v>407</v>
      </c>
      <c r="C15" s="1" t="s">
        <v>34</v>
      </c>
      <c r="D15" s="3" t="s">
        <v>392</v>
      </c>
      <c r="E15" s="5">
        <v>73331</v>
      </c>
      <c r="F15" s="1">
        <v>17</v>
      </c>
    </row>
    <row r="16" spans="1:6">
      <c r="A16" s="1">
        <v>110230</v>
      </c>
      <c r="B16" s="3" t="s">
        <v>408</v>
      </c>
      <c r="C16" s="1" t="s">
        <v>34</v>
      </c>
      <c r="D16" s="3" t="s">
        <v>392</v>
      </c>
      <c r="E16" s="5">
        <v>131898</v>
      </c>
      <c r="F16" s="1">
        <v>47</v>
      </c>
    </row>
    <row r="17" spans="1:6">
      <c r="A17" s="1">
        <v>110985</v>
      </c>
      <c r="B17" s="3" t="s">
        <v>409</v>
      </c>
      <c r="C17" s="1" t="s">
        <v>34</v>
      </c>
      <c r="D17" s="3" t="s">
        <v>390</v>
      </c>
      <c r="E17" s="5">
        <v>90034</v>
      </c>
      <c r="F17" s="1">
        <v>52</v>
      </c>
    </row>
    <row r="18" spans="1:6">
      <c r="A18" s="1">
        <v>110224</v>
      </c>
      <c r="B18" s="3" t="s">
        <v>410</v>
      </c>
      <c r="C18" s="1" t="s">
        <v>34</v>
      </c>
      <c r="D18" s="3" t="s">
        <v>392</v>
      </c>
      <c r="E18" s="5">
        <v>162982</v>
      </c>
      <c r="F18" s="1">
        <v>21</v>
      </c>
    </row>
    <row r="19" spans="1:6">
      <c r="A19" s="1">
        <v>110958</v>
      </c>
      <c r="B19" s="3" t="s">
        <v>411</v>
      </c>
      <c r="C19" s="1" t="s">
        <v>16</v>
      </c>
      <c r="D19" s="3" t="s">
        <v>394</v>
      </c>
      <c r="E19" s="5">
        <v>1106994</v>
      </c>
      <c r="F19" s="1">
        <v>38</v>
      </c>
    </row>
    <row r="20" spans="1:6">
      <c r="A20" s="1">
        <v>110964</v>
      </c>
      <c r="B20" s="3" t="s">
        <v>412</v>
      </c>
      <c r="C20" s="1" t="s">
        <v>16</v>
      </c>
      <c r="D20" s="3" t="s">
        <v>390</v>
      </c>
      <c r="E20" s="5">
        <v>251611</v>
      </c>
      <c r="F20" s="1">
        <v>56</v>
      </c>
    </row>
    <row r="21" spans="1:6">
      <c r="A21" s="1">
        <v>150181</v>
      </c>
      <c r="B21" s="3" t="s">
        <v>413</v>
      </c>
      <c r="C21" s="1" t="s">
        <v>34</v>
      </c>
      <c r="D21" s="3" t="s">
        <v>390</v>
      </c>
      <c r="E21" s="5">
        <v>268053</v>
      </c>
      <c r="F21" s="1">
        <v>23</v>
      </c>
    </row>
    <row r="22" spans="1:6">
      <c r="A22" s="1">
        <v>150095</v>
      </c>
      <c r="B22" s="3" t="s">
        <v>414</v>
      </c>
      <c r="C22" s="1" t="s">
        <v>34</v>
      </c>
      <c r="D22" s="3" t="s">
        <v>392</v>
      </c>
      <c r="E22" s="5">
        <v>197307</v>
      </c>
      <c r="F22" s="1">
        <v>37</v>
      </c>
    </row>
    <row r="23" spans="1:6">
      <c r="A23" s="1">
        <v>112292</v>
      </c>
      <c r="B23" s="3" t="s">
        <v>415</v>
      </c>
      <c r="C23" s="1" t="s">
        <v>16</v>
      </c>
      <c r="D23" s="3" t="s">
        <v>392</v>
      </c>
      <c r="E23" s="5">
        <v>191369</v>
      </c>
      <c r="F23" s="1">
        <v>1</v>
      </c>
    </row>
    <row r="24" spans="1:6">
      <c r="A24" s="1">
        <v>110111</v>
      </c>
      <c r="B24" s="3" t="s">
        <v>416</v>
      </c>
      <c r="C24" s="1" t="s">
        <v>34</v>
      </c>
      <c r="D24" s="3" t="s">
        <v>392</v>
      </c>
      <c r="E24" s="5">
        <v>132891</v>
      </c>
      <c r="F24" s="1" t="s">
        <v>5</v>
      </c>
    </row>
    <row r="25" spans="1:6">
      <c r="A25" s="1" t="s">
        <v>417</v>
      </c>
      <c r="B25" s="3" t="s">
        <v>418</v>
      </c>
      <c r="C25" s="1" t="s">
        <v>86</v>
      </c>
      <c r="D25" s="3" t="s">
        <v>392</v>
      </c>
      <c r="E25" s="5">
        <v>332404</v>
      </c>
      <c r="F25" s="1">
        <v>9</v>
      </c>
    </row>
    <row r="26" spans="1:6">
      <c r="A26" s="1">
        <v>110243</v>
      </c>
      <c r="B26" s="3" t="s">
        <v>419</v>
      </c>
      <c r="C26" s="1" t="s">
        <v>34</v>
      </c>
      <c r="D26" s="3" t="s">
        <v>390</v>
      </c>
      <c r="E26" s="5">
        <v>282917</v>
      </c>
      <c r="F26" s="1">
        <v>18</v>
      </c>
    </row>
    <row r="27" spans="1:6">
      <c r="A27" s="1">
        <v>111779</v>
      </c>
      <c r="B27" s="3" t="s">
        <v>420</v>
      </c>
      <c r="C27" s="1" t="s">
        <v>16</v>
      </c>
      <c r="D27" s="3" t="s">
        <v>390</v>
      </c>
      <c r="E27" s="5">
        <v>466127</v>
      </c>
      <c r="F27" s="1">
        <v>33</v>
      </c>
    </row>
    <row r="28" spans="1:6">
      <c r="A28" s="1">
        <v>111604</v>
      </c>
      <c r="B28" s="3" t="s">
        <v>421</v>
      </c>
      <c r="C28" s="1" t="s">
        <v>16</v>
      </c>
      <c r="D28" s="3" t="s">
        <v>390</v>
      </c>
      <c r="E28" s="5">
        <v>465975</v>
      </c>
      <c r="F28" s="1">
        <v>6</v>
      </c>
    </row>
    <row r="29" spans="1:6">
      <c r="A29" s="1">
        <v>110505</v>
      </c>
      <c r="B29" s="3" t="s">
        <v>422</v>
      </c>
      <c r="C29" s="1" t="s">
        <v>29</v>
      </c>
      <c r="D29" s="3" t="s">
        <v>405</v>
      </c>
      <c r="E29" s="5">
        <v>638689</v>
      </c>
      <c r="F29" s="1">
        <v>46</v>
      </c>
    </row>
    <row r="30" spans="1:6">
      <c r="A30" s="1">
        <v>109862</v>
      </c>
      <c r="B30" s="3" t="s">
        <v>423</v>
      </c>
      <c r="C30" s="1" t="s">
        <v>29</v>
      </c>
      <c r="D30" s="3" t="s">
        <v>405</v>
      </c>
      <c r="E30" s="5">
        <v>986170</v>
      </c>
      <c r="F30" s="1">
        <v>24</v>
      </c>
    </row>
    <row r="31" spans="1:6">
      <c r="A31" s="1">
        <v>109863</v>
      </c>
      <c r="B31" s="3" t="s">
        <v>424</v>
      </c>
      <c r="C31" s="1" t="s">
        <v>29</v>
      </c>
      <c r="D31" s="3" t="s">
        <v>405</v>
      </c>
      <c r="E31" s="5">
        <v>1122966</v>
      </c>
      <c r="F31" s="1">
        <v>7</v>
      </c>
    </row>
    <row r="32" spans="1:6">
      <c r="A32" s="1">
        <v>111758</v>
      </c>
      <c r="B32" s="3" t="s">
        <v>425</v>
      </c>
      <c r="C32" s="1" t="s">
        <v>34</v>
      </c>
      <c r="D32" s="3" t="s">
        <v>392</v>
      </c>
      <c r="E32" s="5">
        <v>903654</v>
      </c>
      <c r="F32" s="1">
        <v>2</v>
      </c>
    </row>
    <row r="33" spans="1:6">
      <c r="A33" s="1">
        <v>110997</v>
      </c>
      <c r="B33" s="3" t="s">
        <v>426</v>
      </c>
      <c r="C33" s="1" t="s">
        <v>29</v>
      </c>
      <c r="D33" s="3" t="s">
        <v>405</v>
      </c>
      <c r="E33" s="5">
        <v>1101963</v>
      </c>
      <c r="F33" s="1">
        <v>3</v>
      </c>
    </row>
    <row r="34" spans="1:6">
      <c r="A34" s="1">
        <v>110008</v>
      </c>
      <c r="B34" s="3" t="s">
        <v>427</v>
      </c>
      <c r="C34" s="1" t="s">
        <v>16</v>
      </c>
      <c r="D34" s="3" t="s">
        <v>405</v>
      </c>
      <c r="E34" s="5">
        <v>599044</v>
      </c>
      <c r="F34" s="1">
        <v>4</v>
      </c>
    </row>
    <row r="35" spans="1:6">
      <c r="A35" s="1">
        <v>151328</v>
      </c>
      <c r="B35" s="3" t="s">
        <v>428</v>
      </c>
      <c r="C35" s="1" t="s">
        <v>23</v>
      </c>
      <c r="D35" s="3" t="s">
        <v>405</v>
      </c>
      <c r="E35" s="5">
        <v>509559</v>
      </c>
      <c r="F35" s="1">
        <v>20</v>
      </c>
    </row>
    <row r="36" spans="1:6">
      <c r="A36" s="1">
        <v>151355</v>
      </c>
      <c r="B36" s="3" t="s">
        <v>429</v>
      </c>
      <c r="C36" s="1" t="s">
        <v>34</v>
      </c>
      <c r="D36" s="3" t="s">
        <v>405</v>
      </c>
      <c r="E36" s="5">
        <v>400338</v>
      </c>
      <c r="F36" s="1">
        <v>10</v>
      </c>
    </row>
    <row r="37" spans="1:6">
      <c r="A37" s="1">
        <v>112550</v>
      </c>
      <c r="B37" s="3" t="s">
        <v>430</v>
      </c>
      <c r="C37" s="1" t="s">
        <v>23</v>
      </c>
      <c r="D37" s="3" t="s">
        <v>405</v>
      </c>
      <c r="E37" s="5">
        <v>556012</v>
      </c>
      <c r="F37" s="1">
        <v>1</v>
      </c>
    </row>
    <row r="38" spans="1:6">
      <c r="A38" s="1">
        <v>112723</v>
      </c>
      <c r="B38" s="3" t="s">
        <v>431</v>
      </c>
      <c r="C38" s="1" t="s">
        <v>34</v>
      </c>
      <c r="D38" s="3" t="s">
        <v>405</v>
      </c>
      <c r="E38" s="5">
        <v>492835</v>
      </c>
      <c r="F38" s="1">
        <v>1</v>
      </c>
    </row>
    <row r="39" spans="1:6">
      <c r="A39" s="1">
        <v>150502</v>
      </c>
      <c r="B39" s="3" t="s">
        <v>432</v>
      </c>
      <c r="C39" s="1" t="s">
        <v>23</v>
      </c>
      <c r="D39" s="3" t="s">
        <v>405</v>
      </c>
      <c r="E39" s="5">
        <v>852933</v>
      </c>
      <c r="F39" s="1">
        <v>25</v>
      </c>
    </row>
    <row r="40" spans="1:6">
      <c r="A40" s="1">
        <v>151153</v>
      </c>
      <c r="B40" s="3" t="s">
        <v>433</v>
      </c>
      <c r="C40" s="1" t="s">
        <v>34</v>
      </c>
      <c r="D40" s="3" t="s">
        <v>390</v>
      </c>
      <c r="E40" s="5">
        <v>488724</v>
      </c>
      <c r="F40" s="1">
        <v>18</v>
      </c>
    </row>
    <row r="41" spans="1:6">
      <c r="A41" s="1">
        <v>112293</v>
      </c>
      <c r="B41" s="3" t="s">
        <v>434</v>
      </c>
      <c r="C41" s="1" t="s">
        <v>16</v>
      </c>
      <c r="D41" s="3" t="s">
        <v>392</v>
      </c>
      <c r="E41" s="5">
        <v>463492</v>
      </c>
      <c r="F41" s="1">
        <v>1</v>
      </c>
    </row>
    <row r="42" spans="1:6">
      <c r="A42" s="1">
        <v>110979</v>
      </c>
      <c r="B42" s="3" t="s">
        <v>435</v>
      </c>
      <c r="C42" s="1" t="s">
        <v>34</v>
      </c>
      <c r="D42" s="3" t="s">
        <v>392</v>
      </c>
      <c r="E42" s="5">
        <v>430137</v>
      </c>
      <c r="F42" s="1">
        <v>3</v>
      </c>
    </row>
    <row r="43" spans="1:6">
      <c r="A43" s="1">
        <v>110987</v>
      </c>
      <c r="B43" s="3" t="s">
        <v>436</v>
      </c>
      <c r="C43" s="1" t="s">
        <v>34</v>
      </c>
      <c r="D43" s="3" t="s">
        <v>390</v>
      </c>
      <c r="E43" s="5">
        <v>295099</v>
      </c>
      <c r="F43" s="1">
        <v>51</v>
      </c>
    </row>
    <row r="44" spans="1:6">
      <c r="A44" s="1">
        <v>112247</v>
      </c>
      <c r="B44" s="3" t="s">
        <v>437</v>
      </c>
      <c r="C44" s="1" t="s">
        <v>34</v>
      </c>
      <c r="D44" s="3" t="s">
        <v>390</v>
      </c>
      <c r="E44" s="5">
        <v>368744</v>
      </c>
      <c r="F44" s="1">
        <v>35</v>
      </c>
    </row>
    <row r="45" spans="1:6">
      <c r="A45" s="1">
        <v>151228</v>
      </c>
      <c r="B45" s="3" t="s">
        <v>438</v>
      </c>
      <c r="C45" s="1" t="s">
        <v>34</v>
      </c>
      <c r="D45" s="3" t="s">
        <v>394</v>
      </c>
      <c r="E45" s="5">
        <v>342932</v>
      </c>
      <c r="F45" s="1">
        <v>32</v>
      </c>
    </row>
    <row r="46" spans="1:6">
      <c r="A46" s="1" t="s">
        <v>439</v>
      </c>
      <c r="B46" s="3" t="s">
        <v>440</v>
      </c>
      <c r="C46" s="1" t="s">
        <v>86</v>
      </c>
      <c r="D46" s="3" t="s">
        <v>390</v>
      </c>
      <c r="E46" s="5">
        <v>681719</v>
      </c>
      <c r="F46" s="1">
        <v>3</v>
      </c>
    </row>
    <row r="47" spans="1:6">
      <c r="A47" s="1">
        <v>112294</v>
      </c>
      <c r="B47" s="3" t="s">
        <v>441</v>
      </c>
      <c r="C47" s="1" t="s">
        <v>16</v>
      </c>
      <c r="D47" s="3" t="s">
        <v>392</v>
      </c>
      <c r="E47" s="5">
        <v>356904</v>
      </c>
      <c r="F47" s="1">
        <v>8</v>
      </c>
    </row>
    <row r="48" spans="1:6">
      <c r="A48" s="1">
        <v>110110</v>
      </c>
      <c r="B48" s="3" t="s">
        <v>442</v>
      </c>
      <c r="C48" s="1" t="s">
        <v>34</v>
      </c>
      <c r="D48" s="3" t="s">
        <v>392</v>
      </c>
      <c r="E48" s="5">
        <v>244391</v>
      </c>
      <c r="F48" s="1">
        <v>3</v>
      </c>
    </row>
    <row r="49" spans="1:6">
      <c r="A49" s="1">
        <v>112395</v>
      </c>
      <c r="B49" s="3" t="s">
        <v>443</v>
      </c>
      <c r="C49" s="1" t="s">
        <v>34</v>
      </c>
      <c r="D49" s="3" t="s">
        <v>392</v>
      </c>
      <c r="E49" s="5">
        <v>491840</v>
      </c>
      <c r="F49" s="1">
        <v>17</v>
      </c>
    </row>
    <row r="50" spans="1:6">
      <c r="A50" s="1">
        <v>110627</v>
      </c>
      <c r="B50" s="3" t="s">
        <v>444</v>
      </c>
      <c r="C50" s="1" t="s">
        <v>16</v>
      </c>
      <c r="D50" s="3" t="s">
        <v>394</v>
      </c>
      <c r="E50" s="5">
        <v>58025</v>
      </c>
      <c r="F50" s="1">
        <v>2</v>
      </c>
    </row>
    <row r="51" spans="1:6">
      <c r="A51" s="1">
        <v>109504</v>
      </c>
      <c r="B51" s="3" t="s">
        <v>445</v>
      </c>
      <c r="C51" s="1" t="s">
        <v>446</v>
      </c>
      <c r="D51" s="3" t="s">
        <v>394</v>
      </c>
      <c r="E51" s="5">
        <v>107718</v>
      </c>
      <c r="F51" s="1">
        <v>1</v>
      </c>
    </row>
    <row r="52" spans="1:6">
      <c r="A52" s="1">
        <v>112834</v>
      </c>
      <c r="B52" s="3" t="s">
        <v>447</v>
      </c>
      <c r="C52" s="1" t="s">
        <v>34</v>
      </c>
      <c r="D52" s="3" t="s">
        <v>392</v>
      </c>
      <c r="E52" s="5">
        <v>512905</v>
      </c>
      <c r="F52" s="1">
        <v>2</v>
      </c>
    </row>
    <row r="53" spans="1:6">
      <c r="A53" s="1">
        <v>110989</v>
      </c>
      <c r="B53" s="3" t="s">
        <v>448</v>
      </c>
      <c r="C53" s="1" t="s">
        <v>34</v>
      </c>
      <c r="D53" s="3" t="s">
        <v>390</v>
      </c>
      <c r="E53" s="5">
        <v>431239</v>
      </c>
      <c r="F53" s="1">
        <v>12</v>
      </c>
    </row>
    <row r="54" spans="1:6">
      <c r="A54" s="1" t="s">
        <v>449</v>
      </c>
      <c r="B54" s="3" t="s">
        <v>450</v>
      </c>
      <c r="C54" s="1" t="s">
        <v>86</v>
      </c>
      <c r="D54" s="3" t="s">
        <v>390</v>
      </c>
      <c r="E54" s="5">
        <v>720919</v>
      </c>
      <c r="F54" s="1">
        <v>1</v>
      </c>
    </row>
    <row r="55" spans="1:6">
      <c r="A55" s="1">
        <v>110966</v>
      </c>
      <c r="B55" s="3" t="s">
        <v>451</v>
      </c>
      <c r="C55" s="1" t="s">
        <v>16</v>
      </c>
      <c r="D55" s="3" t="s">
        <v>390</v>
      </c>
      <c r="E55" s="5">
        <v>467597</v>
      </c>
      <c r="F55" s="1">
        <v>6</v>
      </c>
    </row>
    <row r="56" spans="1:6">
      <c r="A56" s="1">
        <v>112295</v>
      </c>
      <c r="B56" s="3" t="s">
        <v>452</v>
      </c>
      <c r="C56" s="1" t="s">
        <v>16</v>
      </c>
      <c r="D56" s="3" t="s">
        <v>392</v>
      </c>
      <c r="E56" s="5">
        <v>532520</v>
      </c>
      <c r="F56" s="1">
        <v>2</v>
      </c>
    </row>
    <row r="57" spans="1:6">
      <c r="A57" s="1">
        <v>112259</v>
      </c>
      <c r="B57" s="3" t="s">
        <v>453</v>
      </c>
      <c r="C57" s="1" t="s">
        <v>16</v>
      </c>
      <c r="D57" s="3" t="s">
        <v>390</v>
      </c>
      <c r="E57" s="5">
        <v>713317</v>
      </c>
      <c r="F57" s="1">
        <v>12</v>
      </c>
    </row>
    <row r="58" spans="1:6">
      <c r="A58" s="1" t="s">
        <v>454</v>
      </c>
      <c r="B58" s="3" t="s">
        <v>455</v>
      </c>
      <c r="C58" s="1" t="s">
        <v>86</v>
      </c>
      <c r="D58" s="3" t="s">
        <v>390</v>
      </c>
      <c r="E58" s="5">
        <v>854537</v>
      </c>
      <c r="F58" s="1">
        <v>6</v>
      </c>
    </row>
    <row r="59" spans="1:6">
      <c r="A59" s="1">
        <v>109527</v>
      </c>
      <c r="B59" s="3" t="s">
        <v>456</v>
      </c>
      <c r="C59" s="1" t="s">
        <v>23</v>
      </c>
      <c r="D59" s="3" t="s">
        <v>392</v>
      </c>
      <c r="E59" s="5">
        <v>530654</v>
      </c>
      <c r="F59" s="1">
        <v>2</v>
      </c>
    </row>
    <row r="60" spans="1:6">
      <c r="A60" s="1">
        <v>110233</v>
      </c>
      <c r="B60" s="3" t="s">
        <v>457</v>
      </c>
      <c r="C60" s="1" t="s">
        <v>34</v>
      </c>
      <c r="D60" s="3" t="s">
        <v>392</v>
      </c>
      <c r="E60" s="5">
        <v>403506</v>
      </c>
      <c r="F60" s="1">
        <v>36</v>
      </c>
    </row>
    <row r="61" spans="1:6">
      <c r="A61" s="1">
        <v>151129</v>
      </c>
      <c r="B61" s="3" t="s">
        <v>458</v>
      </c>
      <c r="C61" s="1" t="s">
        <v>23</v>
      </c>
      <c r="D61" s="3" t="s">
        <v>390</v>
      </c>
      <c r="E61" s="5">
        <v>468944</v>
      </c>
      <c r="F61" s="1">
        <v>29</v>
      </c>
    </row>
    <row r="62" spans="1:6">
      <c r="A62" s="1">
        <v>111916</v>
      </c>
      <c r="B62" s="3" t="s">
        <v>459</v>
      </c>
      <c r="C62" s="1" t="s">
        <v>34</v>
      </c>
      <c r="D62" s="3" t="s">
        <v>390</v>
      </c>
      <c r="E62" s="5">
        <v>374131</v>
      </c>
      <c r="F62" s="1">
        <v>5</v>
      </c>
    </row>
    <row r="63" spans="1:6">
      <c r="A63" s="1">
        <v>112535</v>
      </c>
      <c r="B63" s="3" t="s">
        <v>460</v>
      </c>
      <c r="C63" s="1" t="s">
        <v>16</v>
      </c>
      <c r="D63" s="3" t="s">
        <v>392</v>
      </c>
      <c r="E63" s="5">
        <v>491838</v>
      </c>
      <c r="F63" s="1">
        <v>32</v>
      </c>
    </row>
    <row r="64" spans="1:6">
      <c r="A64" s="1">
        <v>110628</v>
      </c>
      <c r="B64" s="3" t="s">
        <v>461</v>
      </c>
      <c r="C64" s="1" t="s">
        <v>16</v>
      </c>
      <c r="D64" s="3" t="s">
        <v>394</v>
      </c>
      <c r="E64" s="5">
        <v>94433</v>
      </c>
      <c r="F64" s="1">
        <v>38</v>
      </c>
    </row>
    <row r="65" spans="1:6">
      <c r="A65" s="1">
        <v>110634</v>
      </c>
      <c r="B65" s="3" t="s">
        <v>462</v>
      </c>
      <c r="C65" s="1" t="s">
        <v>16</v>
      </c>
      <c r="D65" s="3" t="s">
        <v>394</v>
      </c>
      <c r="E65" s="5">
        <v>94813</v>
      </c>
      <c r="F65" s="1">
        <v>35</v>
      </c>
    </row>
    <row r="66" spans="1:6">
      <c r="A66" s="1">
        <v>111763</v>
      </c>
      <c r="B66" s="3" t="s">
        <v>463</v>
      </c>
      <c r="C66" s="1" t="s">
        <v>29</v>
      </c>
      <c r="D66" s="3" t="s">
        <v>405</v>
      </c>
      <c r="E66" s="5">
        <v>939752</v>
      </c>
      <c r="F66" s="1">
        <v>88</v>
      </c>
    </row>
    <row r="67" spans="1:6">
      <c r="A67" s="1">
        <v>112720</v>
      </c>
      <c r="B67" s="3" t="s">
        <v>464</v>
      </c>
      <c r="C67" s="1" t="s">
        <v>29</v>
      </c>
      <c r="D67" s="3" t="s">
        <v>405</v>
      </c>
      <c r="E67" s="5">
        <v>899633</v>
      </c>
      <c r="F67" s="1" t="s">
        <v>5</v>
      </c>
    </row>
    <row r="68" spans="1:6">
      <c r="A68" s="1">
        <v>108227</v>
      </c>
      <c r="B68" s="3" t="s">
        <v>465</v>
      </c>
      <c r="C68" s="1" t="s">
        <v>16</v>
      </c>
      <c r="D68" s="3" t="s">
        <v>392</v>
      </c>
      <c r="E68" s="5">
        <v>509795</v>
      </c>
      <c r="F68" s="1">
        <v>11</v>
      </c>
    </row>
    <row r="69" spans="1:6">
      <c r="A69" s="1">
        <v>112800</v>
      </c>
      <c r="B69" s="3" t="s">
        <v>466</v>
      </c>
      <c r="C69" s="1" t="s">
        <v>34</v>
      </c>
      <c r="D69" s="3" t="s">
        <v>405</v>
      </c>
      <c r="E69" s="5">
        <v>2243805</v>
      </c>
      <c r="F69" s="1">
        <v>7</v>
      </c>
    </row>
    <row r="70" spans="1:6">
      <c r="A70" s="1">
        <v>112188</v>
      </c>
      <c r="B70" s="3" t="s">
        <v>467</v>
      </c>
      <c r="C70" s="1" t="s">
        <v>29</v>
      </c>
      <c r="D70" s="3" t="s">
        <v>405</v>
      </c>
      <c r="E70" s="5">
        <v>3054695</v>
      </c>
      <c r="F70" s="1">
        <v>2</v>
      </c>
    </row>
    <row r="71" spans="1:6">
      <c r="A71" s="1">
        <v>109925</v>
      </c>
      <c r="B71" s="3" t="s">
        <v>468</v>
      </c>
      <c r="C71" s="1" t="s">
        <v>23</v>
      </c>
      <c r="D71" s="3" t="s">
        <v>405</v>
      </c>
      <c r="E71" s="5">
        <v>1091953</v>
      </c>
      <c r="F71" s="1">
        <v>6</v>
      </c>
    </row>
    <row r="72" spans="1:6">
      <c r="A72" s="1">
        <v>111789</v>
      </c>
      <c r="B72" s="3" t="s">
        <v>469</v>
      </c>
      <c r="C72" s="1" t="s">
        <v>16</v>
      </c>
      <c r="D72" s="3" t="s">
        <v>405</v>
      </c>
      <c r="E72" s="5">
        <v>3169694</v>
      </c>
      <c r="F72" s="1">
        <v>5</v>
      </c>
    </row>
    <row r="73" spans="1:6">
      <c r="A73" s="1">
        <v>110909</v>
      </c>
      <c r="B73" s="3" t="s">
        <v>470</v>
      </c>
      <c r="C73" s="1" t="s">
        <v>23</v>
      </c>
      <c r="D73" s="3" t="s">
        <v>405</v>
      </c>
      <c r="E73" s="5">
        <v>1734626</v>
      </c>
      <c r="F73" s="1">
        <v>17</v>
      </c>
    </row>
    <row r="74" spans="1:6">
      <c r="A74" s="1">
        <v>110217</v>
      </c>
      <c r="B74" s="3" t="s">
        <v>471</v>
      </c>
      <c r="C74" s="1" t="s">
        <v>34</v>
      </c>
      <c r="D74" s="3" t="s">
        <v>405</v>
      </c>
      <c r="E74" s="5">
        <v>982756</v>
      </c>
      <c r="F74" s="1">
        <v>20</v>
      </c>
    </row>
    <row r="75" spans="1:6">
      <c r="A75" s="1">
        <v>110668</v>
      </c>
      <c r="B75" s="3" t="s">
        <v>472</v>
      </c>
      <c r="C75" s="1" t="s">
        <v>34</v>
      </c>
      <c r="D75" s="3" t="s">
        <v>392</v>
      </c>
      <c r="E75" s="5">
        <v>643876</v>
      </c>
      <c r="F75" s="1">
        <v>13</v>
      </c>
    </row>
    <row r="76" spans="1:6">
      <c r="A76" s="1">
        <v>111371</v>
      </c>
      <c r="B76" s="3" t="s">
        <v>473</v>
      </c>
      <c r="C76" s="1" t="s">
        <v>34</v>
      </c>
      <c r="D76" s="3" t="s">
        <v>390</v>
      </c>
      <c r="E76" s="5">
        <v>633565</v>
      </c>
      <c r="F76" s="1">
        <v>7</v>
      </c>
    </row>
    <row r="77" spans="1:6">
      <c r="A77" s="1">
        <v>109578</v>
      </c>
      <c r="B77" s="3" t="s">
        <v>474</v>
      </c>
      <c r="C77" s="1" t="s">
        <v>475</v>
      </c>
      <c r="D77" s="3" t="s">
        <v>394</v>
      </c>
      <c r="E77" s="5">
        <v>50500</v>
      </c>
      <c r="F77" s="1">
        <v>1</v>
      </c>
    </row>
    <row r="78" spans="1:6">
      <c r="A78" s="1">
        <v>110700</v>
      </c>
      <c r="B78" s="3" t="s">
        <v>476</v>
      </c>
      <c r="C78" s="1" t="s">
        <v>23</v>
      </c>
      <c r="D78" s="3" t="s">
        <v>394</v>
      </c>
      <c r="E78" s="5">
        <v>88859</v>
      </c>
      <c r="F78" s="1">
        <v>1</v>
      </c>
    </row>
    <row r="79" spans="1:6">
      <c r="A79" s="1">
        <v>110629</v>
      </c>
      <c r="B79" s="3" t="s">
        <v>477</v>
      </c>
      <c r="C79" s="1" t="s">
        <v>16</v>
      </c>
      <c r="D79" s="3" t="s">
        <v>394</v>
      </c>
      <c r="E79" s="5">
        <v>114514</v>
      </c>
      <c r="F79" s="1">
        <v>43</v>
      </c>
    </row>
    <row r="80" spans="1:6">
      <c r="A80" s="1">
        <v>110635</v>
      </c>
      <c r="B80" s="3" t="s">
        <v>478</v>
      </c>
      <c r="C80" s="1" t="s">
        <v>16</v>
      </c>
      <c r="D80" s="3" t="s">
        <v>394</v>
      </c>
      <c r="E80" s="5">
        <v>148105</v>
      </c>
      <c r="F80" s="1">
        <v>43</v>
      </c>
    </row>
    <row r="81" spans="1:6">
      <c r="A81" s="1">
        <v>112298</v>
      </c>
      <c r="B81" s="3" t="s">
        <v>479</v>
      </c>
      <c r="C81" s="1" t="s">
        <v>16</v>
      </c>
      <c r="D81" s="3" t="s">
        <v>392</v>
      </c>
      <c r="E81" s="5">
        <v>516419</v>
      </c>
      <c r="F81" s="1" t="s">
        <v>5</v>
      </c>
    </row>
    <row r="82" spans="1:6">
      <c r="A82" s="1">
        <v>110235</v>
      </c>
      <c r="B82" s="3" t="s">
        <v>480</v>
      </c>
      <c r="C82" s="1" t="s">
        <v>34</v>
      </c>
      <c r="D82" s="3" t="s">
        <v>392</v>
      </c>
      <c r="E82" s="5">
        <v>449688</v>
      </c>
      <c r="F82" s="1">
        <v>41</v>
      </c>
    </row>
    <row r="83" spans="1:6">
      <c r="A83" s="1" t="s">
        <v>481</v>
      </c>
      <c r="B83" s="3" t="s">
        <v>482</v>
      </c>
      <c r="C83" s="1" t="s">
        <v>86</v>
      </c>
      <c r="D83" s="3" t="s">
        <v>390</v>
      </c>
      <c r="E83" s="5">
        <v>1172240</v>
      </c>
      <c r="F83" s="1">
        <v>1</v>
      </c>
    </row>
    <row r="84" spans="1:6">
      <c r="A84" s="1">
        <v>108295</v>
      </c>
      <c r="B84" s="3" t="s">
        <v>483</v>
      </c>
      <c r="C84" s="1" t="s">
        <v>29</v>
      </c>
      <c r="D84" s="3" t="s">
        <v>405</v>
      </c>
      <c r="E84" s="5">
        <v>1515592</v>
      </c>
      <c r="F84" s="1">
        <v>35</v>
      </c>
    </row>
    <row r="85" spans="1:6">
      <c r="A85" s="1">
        <v>110469</v>
      </c>
      <c r="B85" s="3" t="s">
        <v>484</v>
      </c>
      <c r="C85" s="1" t="s">
        <v>29</v>
      </c>
      <c r="D85" s="3" t="s">
        <v>405</v>
      </c>
      <c r="E85" s="5">
        <v>1970775</v>
      </c>
      <c r="F85" s="1">
        <v>32</v>
      </c>
    </row>
    <row r="86" spans="1:6">
      <c r="A86" s="1">
        <v>110782</v>
      </c>
      <c r="B86" s="3" t="s">
        <v>485</v>
      </c>
      <c r="C86" s="1" t="s">
        <v>16</v>
      </c>
      <c r="D86" s="3" t="s">
        <v>405</v>
      </c>
      <c r="E86" s="5">
        <v>896237</v>
      </c>
      <c r="F86" s="1">
        <v>1</v>
      </c>
    </row>
    <row r="87" spans="1:6">
      <c r="A87" s="1">
        <v>110632</v>
      </c>
      <c r="B87" s="3" t="s">
        <v>486</v>
      </c>
      <c r="C87" s="1" t="s">
        <v>16</v>
      </c>
      <c r="D87" s="3" t="s">
        <v>394</v>
      </c>
      <c r="E87" s="5">
        <v>149018</v>
      </c>
      <c r="F87" s="1">
        <v>28</v>
      </c>
    </row>
    <row r="88" spans="1:6">
      <c r="A88" s="1">
        <v>110630</v>
      </c>
      <c r="B88" s="3" t="s">
        <v>487</v>
      </c>
      <c r="C88" s="1" t="s">
        <v>16</v>
      </c>
      <c r="D88" s="3" t="s">
        <v>394</v>
      </c>
      <c r="E88" s="5">
        <v>206561</v>
      </c>
      <c r="F88" s="1">
        <v>74</v>
      </c>
    </row>
    <row r="89" spans="1:6">
      <c r="A89" s="1">
        <v>111372</v>
      </c>
      <c r="B89" s="3" t="s">
        <v>488</v>
      </c>
      <c r="C89" s="1" t="s">
        <v>34</v>
      </c>
      <c r="D89" s="3" t="s">
        <v>390</v>
      </c>
      <c r="E89" s="5">
        <v>966414</v>
      </c>
      <c r="F89" s="1">
        <v>10</v>
      </c>
    </row>
    <row r="90" spans="1:6">
      <c r="A90" s="1">
        <v>110955</v>
      </c>
      <c r="B90" s="3" t="s">
        <v>489</v>
      </c>
      <c r="C90" s="1" t="s">
        <v>16</v>
      </c>
      <c r="D90" s="3" t="s">
        <v>392</v>
      </c>
      <c r="E90" s="5">
        <v>1007200</v>
      </c>
      <c r="F90" s="1">
        <v>1</v>
      </c>
    </row>
    <row r="91" spans="1:6">
      <c r="A91" s="1">
        <v>110620</v>
      </c>
      <c r="B91" s="3" t="s">
        <v>490</v>
      </c>
      <c r="C91" s="1" t="s">
        <v>34</v>
      </c>
      <c r="D91" s="3" t="s">
        <v>392</v>
      </c>
      <c r="E91" s="5">
        <v>770204</v>
      </c>
      <c r="F91" s="1">
        <v>4</v>
      </c>
    </row>
    <row r="92" spans="1:6">
      <c r="A92" s="1">
        <v>110236</v>
      </c>
      <c r="B92" s="3" t="s">
        <v>491</v>
      </c>
      <c r="C92" s="1" t="s">
        <v>34</v>
      </c>
      <c r="D92" s="3" t="s">
        <v>405</v>
      </c>
      <c r="E92" s="5">
        <v>1834049</v>
      </c>
      <c r="F92" s="1">
        <v>12</v>
      </c>
    </row>
    <row r="93" spans="1:6">
      <c r="A93" s="1">
        <v>111367</v>
      </c>
      <c r="B93" s="3" t="s">
        <v>492</v>
      </c>
      <c r="C93" s="1" t="s">
        <v>34</v>
      </c>
      <c r="D93" s="3" t="s">
        <v>390</v>
      </c>
      <c r="E93" s="5">
        <v>1325679</v>
      </c>
      <c r="F93" s="1">
        <v>2</v>
      </c>
    </row>
    <row r="94" spans="1:6">
      <c r="A94" s="1">
        <v>111902</v>
      </c>
      <c r="B94" s="3" t="s">
        <v>493</v>
      </c>
      <c r="C94" s="1" t="s">
        <v>34</v>
      </c>
      <c r="D94" s="3" t="s">
        <v>405</v>
      </c>
      <c r="E94" s="5">
        <v>1828435</v>
      </c>
      <c r="F94" s="1">
        <v>43</v>
      </c>
    </row>
    <row r="95" spans="1:6">
      <c r="A95" s="1" t="s">
        <v>494</v>
      </c>
      <c r="B95" s="3" t="s">
        <v>495</v>
      </c>
      <c r="C95" s="1" t="s">
        <v>86</v>
      </c>
      <c r="D95" s="3" t="s">
        <v>390</v>
      </c>
      <c r="E95" s="5">
        <v>1555920</v>
      </c>
      <c r="F95" s="1">
        <v>1</v>
      </c>
    </row>
    <row r="96" spans="1:6">
      <c r="A96" s="1">
        <v>110622</v>
      </c>
      <c r="B96" s="3" t="s">
        <v>496</v>
      </c>
      <c r="C96" s="1" t="s">
        <v>23</v>
      </c>
      <c r="D96" s="3" t="s">
        <v>405</v>
      </c>
      <c r="E96" s="5">
        <v>2035957</v>
      </c>
      <c r="F96" s="1">
        <v>18</v>
      </c>
    </row>
    <row r="97" spans="1:6">
      <c r="A97" s="1">
        <v>109413</v>
      </c>
      <c r="B97" s="3" t="s">
        <v>497</v>
      </c>
      <c r="C97" s="1" t="s">
        <v>29</v>
      </c>
      <c r="D97" s="3" t="s">
        <v>405</v>
      </c>
      <c r="E97" s="5">
        <v>2086696</v>
      </c>
      <c r="F97" s="1">
        <v>27</v>
      </c>
    </row>
    <row r="98" spans="1:6">
      <c r="A98" s="1">
        <v>110780</v>
      </c>
      <c r="B98" s="3" t="s">
        <v>498</v>
      </c>
      <c r="C98" s="1" t="s">
        <v>29</v>
      </c>
      <c r="D98" s="3" t="s">
        <v>405</v>
      </c>
      <c r="E98" s="5">
        <v>2788428</v>
      </c>
      <c r="F98" s="1">
        <v>31</v>
      </c>
    </row>
    <row r="99" spans="1:6">
      <c r="A99" s="1">
        <v>108230</v>
      </c>
      <c r="B99" s="3" t="s">
        <v>499</v>
      </c>
      <c r="C99" s="1" t="s">
        <v>16</v>
      </c>
      <c r="D99" s="3" t="s">
        <v>405</v>
      </c>
      <c r="E99" s="5">
        <v>1336897</v>
      </c>
      <c r="F99" s="1">
        <v>14</v>
      </c>
    </row>
    <row r="100" spans="1:6">
      <c r="A100" s="1">
        <v>111382</v>
      </c>
      <c r="B100" s="3" t="s">
        <v>500</v>
      </c>
      <c r="C100" s="1" t="s">
        <v>501</v>
      </c>
      <c r="D100" s="3" t="s">
        <v>392</v>
      </c>
      <c r="E100" s="5">
        <v>54788</v>
      </c>
      <c r="F100" s="1">
        <v>4</v>
      </c>
    </row>
    <row r="101" spans="1:6">
      <c r="A101" s="1">
        <v>110999</v>
      </c>
      <c r="B101" s="3" t="s">
        <v>502</v>
      </c>
      <c r="C101" s="1" t="s">
        <v>29</v>
      </c>
      <c r="D101" s="3" t="s">
        <v>405</v>
      </c>
      <c r="E101" s="5">
        <v>7026224</v>
      </c>
      <c r="F101" s="1">
        <v>12</v>
      </c>
    </row>
    <row r="102" spans="1:6">
      <c r="A102" s="1">
        <v>109795</v>
      </c>
      <c r="B102" s="3" t="s">
        <v>503</v>
      </c>
      <c r="C102" s="1" t="s">
        <v>504</v>
      </c>
      <c r="D102" s="3" t="s">
        <v>405</v>
      </c>
      <c r="E102" s="5">
        <v>5008537</v>
      </c>
      <c r="F102" s="1">
        <v>1</v>
      </c>
    </row>
    <row r="103" spans="1:6">
      <c r="A103" s="1">
        <v>109796</v>
      </c>
      <c r="B103" s="3" t="s">
        <v>505</v>
      </c>
      <c r="C103" s="1" t="s">
        <v>504</v>
      </c>
      <c r="D103" s="3" t="s">
        <v>405</v>
      </c>
      <c r="E103" s="5">
        <v>5008537</v>
      </c>
      <c r="F103" s="1">
        <v>3</v>
      </c>
    </row>
    <row r="104" spans="1:6">
      <c r="A104" s="1">
        <v>110225</v>
      </c>
      <c r="B104" s="3" t="s">
        <v>506</v>
      </c>
      <c r="C104" s="1" t="s">
        <v>34</v>
      </c>
      <c r="D104" s="3" t="s">
        <v>394</v>
      </c>
      <c r="E104" s="5">
        <v>186912</v>
      </c>
      <c r="F104" s="1">
        <v>18</v>
      </c>
    </row>
    <row r="105" spans="1:6">
      <c r="A105" s="1">
        <v>110631</v>
      </c>
      <c r="B105" s="3" t="s">
        <v>507</v>
      </c>
      <c r="C105" s="1" t="s">
        <v>16</v>
      </c>
      <c r="D105" s="3" t="s">
        <v>394</v>
      </c>
      <c r="E105" s="5">
        <v>403573</v>
      </c>
      <c r="F105" s="1">
        <v>77</v>
      </c>
    </row>
    <row r="106" spans="1:6">
      <c r="A106" s="1">
        <v>111276</v>
      </c>
      <c r="B106" s="3" t="s">
        <v>508</v>
      </c>
      <c r="C106" s="1" t="s">
        <v>23</v>
      </c>
      <c r="D106" s="3" t="s">
        <v>405</v>
      </c>
      <c r="E106" s="5">
        <v>2498199</v>
      </c>
      <c r="F106" s="1">
        <v>9</v>
      </c>
    </row>
    <row r="107" spans="1:6">
      <c r="A107" s="1">
        <v>109293</v>
      </c>
      <c r="B107" s="3" t="s">
        <v>509</v>
      </c>
      <c r="C107" s="1" t="s">
        <v>29</v>
      </c>
      <c r="D107" s="3" t="s">
        <v>405</v>
      </c>
      <c r="E107" s="5">
        <v>2916413</v>
      </c>
      <c r="F107" s="1">
        <v>16</v>
      </c>
    </row>
    <row r="108" spans="1:6">
      <c r="A108" s="1">
        <v>109865</v>
      </c>
      <c r="B108" s="3" t="s">
        <v>510</v>
      </c>
      <c r="C108" s="1" t="s">
        <v>29</v>
      </c>
      <c r="D108" s="3" t="s">
        <v>405</v>
      </c>
      <c r="E108" s="5">
        <v>3838438</v>
      </c>
      <c r="F108" s="1">
        <v>9</v>
      </c>
    </row>
    <row r="109" spans="1:6">
      <c r="A109" s="1">
        <v>109797</v>
      </c>
      <c r="B109" s="3" t="s">
        <v>511</v>
      </c>
      <c r="C109" s="1" t="s">
        <v>504</v>
      </c>
      <c r="D109" s="3" t="s">
        <v>405</v>
      </c>
      <c r="E109" s="5">
        <v>5547920</v>
      </c>
      <c r="F109" s="1">
        <v>2</v>
      </c>
    </row>
    <row r="110" spans="1:6">
      <c r="A110" s="1">
        <v>109787</v>
      </c>
      <c r="B110" s="3" t="s">
        <v>512</v>
      </c>
      <c r="C110" s="1" t="s">
        <v>504</v>
      </c>
      <c r="D110" s="3" t="s">
        <v>405</v>
      </c>
      <c r="E110" s="5">
        <v>5547920</v>
      </c>
      <c r="F110" s="1">
        <v>5</v>
      </c>
    </row>
    <row r="111" spans="1:6">
      <c r="A111" s="1" t="s">
        <v>513</v>
      </c>
      <c r="B111" s="3" t="s">
        <v>514</v>
      </c>
      <c r="C111" s="1" t="s">
        <v>515</v>
      </c>
      <c r="D111" s="3" t="s">
        <v>405</v>
      </c>
      <c r="E111" s="5">
        <v>404866</v>
      </c>
      <c r="F111" s="1">
        <v>3</v>
      </c>
    </row>
    <row r="112" spans="1:6">
      <c r="A112" s="1">
        <v>150488</v>
      </c>
      <c r="B112" s="3" t="s">
        <v>516</v>
      </c>
      <c r="C112" s="1" t="s">
        <v>34</v>
      </c>
      <c r="D112" s="3" t="s">
        <v>390</v>
      </c>
      <c r="E112" s="5">
        <v>145295</v>
      </c>
      <c r="F112" s="1">
        <v>58</v>
      </c>
    </row>
    <row r="113" spans="1:6">
      <c r="A113" s="1">
        <v>151115</v>
      </c>
      <c r="B113" s="3" t="s">
        <v>517</v>
      </c>
      <c r="C113" s="1" t="s">
        <v>34</v>
      </c>
      <c r="D113" s="3" t="s">
        <v>390</v>
      </c>
      <c r="E113" s="5">
        <v>172626</v>
      </c>
      <c r="F113" s="1" t="s">
        <v>5</v>
      </c>
    </row>
    <row r="114" spans="1:6">
      <c r="A114" s="1">
        <v>151093</v>
      </c>
      <c r="B114" s="3" t="s">
        <v>518</v>
      </c>
      <c r="C114" s="1" t="s">
        <v>34</v>
      </c>
      <c r="D114" s="3" t="s">
        <v>390</v>
      </c>
      <c r="E114" s="5">
        <v>190234</v>
      </c>
      <c r="F114" s="1">
        <v>53</v>
      </c>
    </row>
    <row r="115" spans="1:6">
      <c r="A115" s="1">
        <v>150234</v>
      </c>
      <c r="B115" s="3" t="s">
        <v>519</v>
      </c>
      <c r="C115" s="1" t="s">
        <v>34</v>
      </c>
      <c r="D115" s="3" t="s">
        <v>390</v>
      </c>
      <c r="E115" s="5">
        <v>180669</v>
      </c>
      <c r="F115" s="1">
        <v>22</v>
      </c>
    </row>
    <row r="116" spans="1:6">
      <c r="A116" s="1">
        <v>110084</v>
      </c>
      <c r="B116" s="3" t="s">
        <v>520</v>
      </c>
      <c r="C116" s="1" t="s">
        <v>23</v>
      </c>
      <c r="D116" s="3" t="s">
        <v>390</v>
      </c>
      <c r="E116" s="5">
        <v>289268</v>
      </c>
      <c r="F116" s="1">
        <v>34</v>
      </c>
    </row>
    <row r="117" spans="1:6">
      <c r="A117" s="1">
        <v>150715</v>
      </c>
      <c r="B117" s="3" t="s">
        <v>521</v>
      </c>
      <c r="C117" s="1" t="s">
        <v>34</v>
      </c>
      <c r="D117" s="3" t="s">
        <v>390</v>
      </c>
      <c r="E117" s="5">
        <v>267498</v>
      </c>
      <c r="F117" s="1">
        <v>24</v>
      </c>
    </row>
    <row r="118" spans="1:6">
      <c r="A118" s="1">
        <v>110237</v>
      </c>
      <c r="B118" s="3" t="s">
        <v>522</v>
      </c>
      <c r="C118" s="1" t="s">
        <v>34</v>
      </c>
      <c r="D118" s="3" t="s">
        <v>390</v>
      </c>
      <c r="E118" s="5">
        <v>1787489</v>
      </c>
      <c r="F118" s="1">
        <v>1</v>
      </c>
    </row>
    <row r="119" spans="1:6">
      <c r="A119" s="1">
        <v>111914</v>
      </c>
      <c r="B119" s="3" t="s">
        <v>523</v>
      </c>
      <c r="C119" s="1" t="s">
        <v>34</v>
      </c>
      <c r="D119" s="3" t="s">
        <v>390</v>
      </c>
      <c r="E119" s="5">
        <v>2103068</v>
      </c>
      <c r="F119" s="1">
        <v>14</v>
      </c>
    </row>
    <row r="120" spans="1:6">
      <c r="A120" s="1">
        <v>109962</v>
      </c>
      <c r="B120" s="3" t="s">
        <v>524</v>
      </c>
      <c r="C120" s="1" t="s">
        <v>23</v>
      </c>
      <c r="D120" s="3" t="s">
        <v>394</v>
      </c>
      <c r="E120" s="5">
        <v>184027</v>
      </c>
      <c r="F120" s="1">
        <v>45</v>
      </c>
    </row>
    <row r="121" spans="1:6">
      <c r="A121" s="1">
        <v>108284</v>
      </c>
      <c r="B121" s="3" t="s">
        <v>525</v>
      </c>
      <c r="C121" s="1" t="s">
        <v>446</v>
      </c>
      <c r="D121" s="3" t="s">
        <v>394</v>
      </c>
      <c r="E121" s="5">
        <v>414310</v>
      </c>
      <c r="F121" s="1">
        <v>1</v>
      </c>
    </row>
    <row r="122" spans="1:6">
      <c r="A122" s="1">
        <v>110442</v>
      </c>
      <c r="B122" s="3" t="s">
        <v>526</v>
      </c>
      <c r="C122" s="1" t="s">
        <v>16</v>
      </c>
      <c r="D122" s="3" t="s">
        <v>394</v>
      </c>
      <c r="E122" s="5">
        <v>341930</v>
      </c>
      <c r="F122" s="1">
        <v>3</v>
      </c>
    </row>
    <row r="123" spans="1:6">
      <c r="A123" s="1">
        <v>112592</v>
      </c>
      <c r="B123" s="3" t="s">
        <v>527</v>
      </c>
      <c r="C123" s="1" t="s">
        <v>16</v>
      </c>
      <c r="D123" s="3" t="s">
        <v>394</v>
      </c>
      <c r="E123" s="5">
        <v>144582</v>
      </c>
      <c r="F123" s="1">
        <v>82</v>
      </c>
    </row>
    <row r="124" spans="1:6">
      <c r="A124" s="1">
        <v>111762</v>
      </c>
      <c r="B124" s="3" t="s">
        <v>528</v>
      </c>
      <c r="C124" s="1" t="s">
        <v>29</v>
      </c>
      <c r="D124" s="3" t="s">
        <v>405</v>
      </c>
      <c r="E124" s="5">
        <v>4755311</v>
      </c>
      <c r="F124" s="1">
        <v>1</v>
      </c>
    </row>
    <row r="125" spans="1:6">
      <c r="A125" s="1">
        <v>150180</v>
      </c>
      <c r="B125" s="3" t="s">
        <v>529</v>
      </c>
      <c r="C125" s="1" t="s">
        <v>34</v>
      </c>
      <c r="D125" s="3" t="s">
        <v>390</v>
      </c>
      <c r="E125" s="5">
        <v>2742609</v>
      </c>
      <c r="F125" s="1">
        <v>22</v>
      </c>
    </row>
    <row r="126" spans="1:6">
      <c r="A126" s="1">
        <v>110993</v>
      </c>
      <c r="B126" s="3" t="s">
        <v>530</v>
      </c>
      <c r="C126" s="1" t="s">
        <v>34</v>
      </c>
      <c r="D126" s="3" t="s">
        <v>390</v>
      </c>
      <c r="E126" s="5">
        <v>183966</v>
      </c>
      <c r="F126" s="1">
        <v>78</v>
      </c>
    </row>
    <row r="127" spans="1:6">
      <c r="A127" s="1">
        <v>110085</v>
      </c>
      <c r="B127" s="3" t="s">
        <v>531</v>
      </c>
      <c r="C127" s="1" t="s">
        <v>23</v>
      </c>
      <c r="D127" s="3" t="s">
        <v>390</v>
      </c>
      <c r="E127" s="5">
        <v>356160</v>
      </c>
      <c r="F127" s="1">
        <v>22</v>
      </c>
    </row>
    <row r="128" spans="1:6">
      <c r="A128" s="1">
        <v>150716</v>
      </c>
      <c r="B128" s="3" t="s">
        <v>532</v>
      </c>
      <c r="C128" s="1" t="s">
        <v>34</v>
      </c>
      <c r="D128" s="3" t="s">
        <v>390</v>
      </c>
      <c r="E128" s="5">
        <v>332134</v>
      </c>
      <c r="F128" s="1">
        <v>8</v>
      </c>
    </row>
    <row r="129" spans="1:6">
      <c r="A129" s="1">
        <v>110092</v>
      </c>
      <c r="B129" s="3" t="s">
        <v>533</v>
      </c>
      <c r="C129" s="1" t="s">
        <v>23</v>
      </c>
      <c r="D129" s="3" t="s">
        <v>390</v>
      </c>
      <c r="E129" s="5">
        <v>386681</v>
      </c>
      <c r="F129" s="1">
        <v>25</v>
      </c>
    </row>
    <row r="130" spans="1:6">
      <c r="A130" s="1">
        <v>150717</v>
      </c>
      <c r="B130" s="3" t="s">
        <v>534</v>
      </c>
      <c r="C130" s="1" t="s">
        <v>34</v>
      </c>
      <c r="D130" s="3" t="s">
        <v>390</v>
      </c>
      <c r="E130" s="5">
        <v>341195</v>
      </c>
      <c r="F130" s="1">
        <v>36</v>
      </c>
    </row>
    <row r="131" spans="1:6">
      <c r="A131" s="1">
        <v>112357</v>
      </c>
      <c r="B131" s="3" t="s">
        <v>535</v>
      </c>
      <c r="C131" s="1" t="s">
        <v>536</v>
      </c>
      <c r="D131" s="3" t="s">
        <v>394</v>
      </c>
      <c r="E131" s="5">
        <v>699268</v>
      </c>
      <c r="F131" s="1">
        <v>7</v>
      </c>
    </row>
    <row r="132" spans="1:6">
      <c r="A132" s="1">
        <v>110703</v>
      </c>
      <c r="B132" s="3" t="s">
        <v>537</v>
      </c>
      <c r="C132" s="1" t="s">
        <v>23</v>
      </c>
      <c r="D132" s="3" t="s">
        <v>390</v>
      </c>
      <c r="E132" s="5">
        <v>405160</v>
      </c>
      <c r="F132" s="1">
        <v>1</v>
      </c>
    </row>
    <row r="133" spans="1:6">
      <c r="A133" s="1">
        <v>110086</v>
      </c>
      <c r="B133" s="3" t="s">
        <v>538</v>
      </c>
      <c r="C133" s="1" t="s">
        <v>23</v>
      </c>
      <c r="D133" s="3" t="s">
        <v>390</v>
      </c>
      <c r="E133" s="5">
        <v>498116</v>
      </c>
      <c r="F133" s="1">
        <v>16</v>
      </c>
    </row>
    <row r="134" spans="1:6">
      <c r="A134" s="1">
        <v>150718</v>
      </c>
      <c r="B134" s="3" t="s">
        <v>539</v>
      </c>
      <c r="C134" s="1" t="s">
        <v>34</v>
      </c>
      <c r="D134" s="3" t="s">
        <v>390</v>
      </c>
      <c r="E134" s="5">
        <v>473037</v>
      </c>
      <c r="F134" s="1">
        <v>1</v>
      </c>
    </row>
    <row r="135" spans="1:6">
      <c r="A135" s="1" t="s">
        <v>540</v>
      </c>
      <c r="B135" s="3" t="s">
        <v>541</v>
      </c>
      <c r="C135" s="1" t="s">
        <v>86</v>
      </c>
      <c r="D135" s="3" t="s">
        <v>390</v>
      </c>
      <c r="E135" s="5">
        <v>1073612</v>
      </c>
      <c r="F135" s="1">
        <v>4</v>
      </c>
    </row>
    <row r="136" spans="1:6">
      <c r="A136" s="1">
        <v>110087</v>
      </c>
      <c r="B136" s="3" t="s">
        <v>542</v>
      </c>
      <c r="C136" s="1" t="s">
        <v>23</v>
      </c>
      <c r="D136" s="3" t="s">
        <v>390</v>
      </c>
      <c r="E136" s="5">
        <v>621596</v>
      </c>
      <c r="F136" s="1">
        <v>25</v>
      </c>
    </row>
    <row r="137" spans="1:6">
      <c r="A137" s="1">
        <v>151130</v>
      </c>
      <c r="B137" s="3" t="s">
        <v>543</v>
      </c>
      <c r="C137" s="1" t="s">
        <v>34</v>
      </c>
      <c r="D137" s="3" t="s">
        <v>390</v>
      </c>
      <c r="E137" s="5">
        <v>870339</v>
      </c>
      <c r="F137" s="1">
        <v>22</v>
      </c>
    </row>
    <row r="138" spans="1:6">
      <c r="A138" s="1">
        <v>110704</v>
      </c>
      <c r="B138" s="3" t="s">
        <v>544</v>
      </c>
      <c r="C138" s="1" t="s">
        <v>23</v>
      </c>
      <c r="D138" s="3" t="s">
        <v>390</v>
      </c>
      <c r="E138" s="5">
        <v>518488</v>
      </c>
      <c r="F138" s="1">
        <v>36</v>
      </c>
    </row>
    <row r="139" spans="1:6">
      <c r="A139" s="1">
        <v>150719</v>
      </c>
      <c r="B139" s="3" t="s">
        <v>545</v>
      </c>
      <c r="C139" s="1" t="s">
        <v>34</v>
      </c>
      <c r="D139" s="3" t="s">
        <v>390</v>
      </c>
      <c r="E139" s="5">
        <v>469917</v>
      </c>
      <c r="F139" s="1">
        <v>46</v>
      </c>
    </row>
    <row r="140" spans="1:6">
      <c r="A140" s="1">
        <v>110088</v>
      </c>
      <c r="B140" s="3" t="s">
        <v>546</v>
      </c>
      <c r="C140" s="1" t="s">
        <v>23</v>
      </c>
      <c r="D140" s="3" t="s">
        <v>390</v>
      </c>
      <c r="E140" s="5">
        <v>648967</v>
      </c>
      <c r="F140" s="1">
        <v>8</v>
      </c>
    </row>
    <row r="141" spans="1:6">
      <c r="A141" s="1">
        <v>110089</v>
      </c>
      <c r="B141" s="3" t="s">
        <v>547</v>
      </c>
      <c r="C141" s="1" t="s">
        <v>23</v>
      </c>
      <c r="D141" s="3" t="s">
        <v>390</v>
      </c>
      <c r="E141" s="5">
        <v>665066</v>
      </c>
      <c r="F141" s="1">
        <v>28</v>
      </c>
    </row>
    <row r="142" spans="1:6">
      <c r="A142" s="1">
        <v>111235</v>
      </c>
      <c r="B142" s="3" t="s">
        <v>548</v>
      </c>
      <c r="C142" s="1" t="s">
        <v>23</v>
      </c>
      <c r="D142" s="3" t="s">
        <v>390</v>
      </c>
      <c r="E142" s="5">
        <v>849454</v>
      </c>
      <c r="F142" s="1">
        <v>2</v>
      </c>
    </row>
    <row r="143" spans="1:6">
      <c r="A143" s="1">
        <v>110090</v>
      </c>
      <c r="B143" s="3" t="s">
        <v>549</v>
      </c>
      <c r="C143" s="1" t="s">
        <v>23</v>
      </c>
      <c r="D143" s="3" t="s">
        <v>390</v>
      </c>
      <c r="E143" s="5">
        <v>773984</v>
      </c>
      <c r="F143" s="1">
        <v>33</v>
      </c>
    </row>
    <row r="144" spans="1:6">
      <c r="A144" s="1">
        <v>111996</v>
      </c>
      <c r="B144" s="3" t="s">
        <v>550</v>
      </c>
      <c r="C144" s="1" t="s">
        <v>23</v>
      </c>
      <c r="D144" s="3" t="s">
        <v>390</v>
      </c>
      <c r="E144" s="5">
        <v>908359</v>
      </c>
      <c r="F144" s="1">
        <v>24</v>
      </c>
    </row>
    <row r="145" spans="1:6">
      <c r="A145" s="1">
        <v>150721</v>
      </c>
      <c r="B145" s="3" t="s">
        <v>551</v>
      </c>
      <c r="C145" s="1" t="s">
        <v>34</v>
      </c>
      <c r="D145" s="3" t="s">
        <v>390</v>
      </c>
      <c r="E145" s="5">
        <v>834327</v>
      </c>
      <c r="F145" s="1">
        <v>1</v>
      </c>
    </row>
    <row r="146" spans="1:6">
      <c r="A146" s="1">
        <v>110091</v>
      </c>
      <c r="B146" s="3" t="s">
        <v>552</v>
      </c>
      <c r="C146" s="1" t="s">
        <v>23</v>
      </c>
      <c r="D146" s="3" t="s">
        <v>390</v>
      </c>
      <c r="E146" s="5">
        <v>977198</v>
      </c>
      <c r="F146" s="1">
        <v>20</v>
      </c>
    </row>
    <row r="147" spans="1:6">
      <c r="A147" s="1" t="s">
        <v>553</v>
      </c>
      <c r="B147" s="3" t="s">
        <v>554</v>
      </c>
      <c r="C147" s="1" t="s">
        <v>86</v>
      </c>
      <c r="D147" s="3" t="s">
        <v>390</v>
      </c>
      <c r="E147" s="5">
        <v>1402880</v>
      </c>
      <c r="F147" s="1">
        <v>2</v>
      </c>
    </row>
    <row r="148" spans="1:6">
      <c r="A148" s="1">
        <v>111554</v>
      </c>
      <c r="B148" s="3" t="s">
        <v>555</v>
      </c>
      <c r="C148" s="1" t="s">
        <v>23</v>
      </c>
      <c r="D148" s="3" t="s">
        <v>390</v>
      </c>
      <c r="E148" s="5">
        <v>595922</v>
      </c>
      <c r="F148" s="1">
        <v>7</v>
      </c>
    </row>
    <row r="149" spans="1:6">
      <c r="A149" s="1">
        <v>110244</v>
      </c>
      <c r="B149" s="3" t="s">
        <v>556</v>
      </c>
      <c r="C149" s="1" t="s">
        <v>34</v>
      </c>
      <c r="D149" s="3" t="s">
        <v>390</v>
      </c>
      <c r="E149" s="5">
        <v>35965</v>
      </c>
      <c r="F149" s="1">
        <v>41</v>
      </c>
    </row>
    <row r="150" spans="1:6">
      <c r="A150" s="1">
        <v>109624</v>
      </c>
      <c r="B150" s="3" t="s">
        <v>557</v>
      </c>
      <c r="C150" s="1" t="s">
        <v>23</v>
      </c>
      <c r="D150" s="3" t="s">
        <v>394</v>
      </c>
      <c r="E150" s="5">
        <v>45784</v>
      </c>
      <c r="F150" s="1">
        <v>20</v>
      </c>
    </row>
    <row r="151" spans="1:6">
      <c r="A151" s="1">
        <v>112888</v>
      </c>
      <c r="B151" s="3" t="s">
        <v>558</v>
      </c>
      <c r="C151" s="1" t="s">
        <v>16</v>
      </c>
      <c r="D151" s="3" t="s">
        <v>394</v>
      </c>
      <c r="E151" s="5">
        <v>97739</v>
      </c>
      <c r="F151" s="1">
        <v>26</v>
      </c>
    </row>
    <row r="152" spans="1:6">
      <c r="A152" s="1">
        <v>150086</v>
      </c>
      <c r="B152" s="3" t="s">
        <v>559</v>
      </c>
      <c r="C152" s="1" t="s">
        <v>16</v>
      </c>
      <c r="D152" s="3" t="s">
        <v>394</v>
      </c>
      <c r="E152" s="5">
        <v>99372</v>
      </c>
      <c r="F152" s="1">
        <v>34</v>
      </c>
    </row>
    <row r="153" spans="1:6">
      <c r="A153" s="1">
        <v>109584</v>
      </c>
      <c r="B153" s="3" t="s">
        <v>560</v>
      </c>
      <c r="C153" s="1" t="s">
        <v>475</v>
      </c>
      <c r="D153" s="3" t="s">
        <v>394</v>
      </c>
      <c r="E153" s="5">
        <v>112498</v>
      </c>
      <c r="F153" s="1">
        <v>2</v>
      </c>
    </row>
    <row r="154" spans="1:6">
      <c r="A154" s="1" t="s">
        <v>561</v>
      </c>
      <c r="B154" s="3" t="s">
        <v>562</v>
      </c>
      <c r="C154" s="1" t="s">
        <v>86</v>
      </c>
      <c r="D154" s="3" t="s">
        <v>390</v>
      </c>
      <c r="E154" s="5">
        <v>1881268</v>
      </c>
      <c r="F154" s="1">
        <v>1</v>
      </c>
    </row>
    <row r="155" spans="1:6">
      <c r="A155" s="1">
        <v>110670</v>
      </c>
      <c r="B155" s="3" t="s">
        <v>563</v>
      </c>
      <c r="C155" s="1" t="s">
        <v>16</v>
      </c>
      <c r="D155" s="3" t="s">
        <v>394</v>
      </c>
      <c r="E155" s="5">
        <v>64356</v>
      </c>
      <c r="F155" s="1" t="s">
        <v>5</v>
      </c>
    </row>
    <row r="156" spans="1:6">
      <c r="A156" s="1">
        <v>110438</v>
      </c>
      <c r="B156" s="3" t="s">
        <v>564</v>
      </c>
      <c r="C156" s="1" t="s">
        <v>16</v>
      </c>
      <c r="D156" s="3" t="s">
        <v>394</v>
      </c>
      <c r="E156" s="5">
        <v>144356</v>
      </c>
      <c r="F156" s="1">
        <v>50</v>
      </c>
    </row>
    <row r="157" spans="1:6">
      <c r="A157" s="1">
        <v>151053</v>
      </c>
      <c r="B157" s="3" t="s">
        <v>565</v>
      </c>
      <c r="C157" s="1" t="s">
        <v>23</v>
      </c>
      <c r="D157" s="3" t="s">
        <v>390</v>
      </c>
      <c r="E157" s="5">
        <v>72308</v>
      </c>
      <c r="F157" s="1">
        <v>84</v>
      </c>
    </row>
    <row r="158" spans="1:6">
      <c r="A158" s="1">
        <v>112314</v>
      </c>
      <c r="B158" s="3" t="s">
        <v>566</v>
      </c>
      <c r="C158" s="1" t="s">
        <v>16</v>
      </c>
      <c r="D158" s="3" t="s">
        <v>394</v>
      </c>
      <c r="E158" s="5">
        <v>71421</v>
      </c>
      <c r="F158" s="1" t="s">
        <v>5</v>
      </c>
    </row>
    <row r="159" spans="1:6">
      <c r="A159" s="1">
        <v>110706</v>
      </c>
      <c r="B159" s="3" t="s">
        <v>567</v>
      </c>
      <c r="C159" s="1" t="s">
        <v>23</v>
      </c>
      <c r="D159" s="3" t="s">
        <v>390</v>
      </c>
      <c r="E159" s="5">
        <v>895575</v>
      </c>
      <c r="F159" s="1">
        <v>6</v>
      </c>
    </row>
    <row r="160" spans="1:6">
      <c r="A160" s="1" t="s">
        <v>568</v>
      </c>
      <c r="B160" s="3" t="s">
        <v>569</v>
      </c>
      <c r="C160" s="1" t="s">
        <v>86</v>
      </c>
      <c r="D160" s="3" t="s">
        <v>390</v>
      </c>
      <c r="E160" s="5">
        <v>2388423</v>
      </c>
      <c r="F160" s="1">
        <v>2</v>
      </c>
    </row>
    <row r="161" spans="1:6">
      <c r="A161" s="1">
        <v>110104</v>
      </c>
      <c r="B161" s="3" t="s">
        <v>570</v>
      </c>
      <c r="C161" s="1" t="s">
        <v>16</v>
      </c>
      <c r="D161" s="3" t="s">
        <v>394</v>
      </c>
      <c r="E161" s="5">
        <v>120012</v>
      </c>
      <c r="F161" s="1" t="s">
        <v>5</v>
      </c>
    </row>
    <row r="162" spans="1:6">
      <c r="A162" s="1">
        <v>110982</v>
      </c>
      <c r="B162" s="3" t="s">
        <v>571</v>
      </c>
      <c r="C162" s="1" t="s">
        <v>34</v>
      </c>
      <c r="D162" s="3" t="s">
        <v>394</v>
      </c>
      <c r="E162" s="5">
        <v>125889</v>
      </c>
      <c r="F162" s="1">
        <v>28</v>
      </c>
    </row>
    <row r="163" spans="1:6">
      <c r="A163" s="1">
        <v>111330</v>
      </c>
      <c r="B163" s="3" t="s">
        <v>572</v>
      </c>
      <c r="C163" s="1" t="s">
        <v>16</v>
      </c>
      <c r="D163" s="3" t="s">
        <v>394</v>
      </c>
      <c r="E163" s="5">
        <v>295660</v>
      </c>
      <c r="F163" s="1">
        <v>77</v>
      </c>
    </row>
    <row r="164" spans="1:6">
      <c r="A164" s="1">
        <v>109500</v>
      </c>
      <c r="B164" s="3" t="s">
        <v>573</v>
      </c>
      <c r="C164" s="1" t="s">
        <v>23</v>
      </c>
      <c r="D164" s="3" t="s">
        <v>394</v>
      </c>
      <c r="E164" s="5">
        <v>183936</v>
      </c>
      <c r="F164" s="1">
        <v>20</v>
      </c>
    </row>
    <row r="165" spans="1:6">
      <c r="A165" s="1">
        <v>112653</v>
      </c>
      <c r="B165" s="3" t="s">
        <v>574</v>
      </c>
      <c r="C165" s="1" t="s">
        <v>16</v>
      </c>
      <c r="D165" s="3" t="s">
        <v>394</v>
      </c>
      <c r="E165" s="5">
        <v>346658</v>
      </c>
      <c r="F165" s="1">
        <v>46</v>
      </c>
    </row>
    <row r="166" spans="1:6">
      <c r="A166" s="1">
        <v>110994</v>
      </c>
      <c r="B166" s="3" t="s">
        <v>575</v>
      </c>
      <c r="C166" s="1" t="s">
        <v>34</v>
      </c>
      <c r="D166" s="3" t="s">
        <v>390</v>
      </c>
      <c r="E166" s="5">
        <v>104801</v>
      </c>
      <c r="F166" s="1">
        <v>2</v>
      </c>
    </row>
    <row r="167" spans="1:6">
      <c r="A167" s="1">
        <v>110740</v>
      </c>
      <c r="B167" s="3" t="s">
        <v>576</v>
      </c>
      <c r="C167" s="1" t="s">
        <v>501</v>
      </c>
      <c r="D167" s="3" t="s">
        <v>390</v>
      </c>
      <c r="E167" s="5">
        <v>130190</v>
      </c>
      <c r="F167" s="1">
        <v>1</v>
      </c>
    </row>
    <row r="168" spans="1:6">
      <c r="A168" s="1">
        <v>111406</v>
      </c>
      <c r="B168" s="3" t="s">
        <v>577</v>
      </c>
      <c r="C168" s="1" t="s">
        <v>16</v>
      </c>
      <c r="D168" s="3" t="s">
        <v>394</v>
      </c>
      <c r="E168" s="5">
        <v>297011</v>
      </c>
      <c r="F168" s="1">
        <v>1</v>
      </c>
    </row>
    <row r="169" spans="1:6">
      <c r="A169" s="1" t="s">
        <v>578</v>
      </c>
      <c r="B169" s="3" t="s">
        <v>579</v>
      </c>
      <c r="C169" s="1" t="s">
        <v>86</v>
      </c>
      <c r="D169" s="3" t="s">
        <v>390</v>
      </c>
      <c r="E169" s="5">
        <v>3461631</v>
      </c>
      <c r="F169" s="1">
        <v>1</v>
      </c>
    </row>
    <row r="170" spans="1:6">
      <c r="A170" s="1">
        <v>112315</v>
      </c>
      <c r="B170" s="3" t="s">
        <v>580</v>
      </c>
      <c r="C170" s="1" t="s">
        <v>16</v>
      </c>
      <c r="D170" s="3" t="s">
        <v>394</v>
      </c>
      <c r="E170" s="5">
        <v>195628</v>
      </c>
      <c r="F170" s="1">
        <v>11</v>
      </c>
    </row>
    <row r="171" spans="1:6">
      <c r="A171" s="1">
        <v>109635</v>
      </c>
      <c r="B171" s="3" t="s">
        <v>581</v>
      </c>
      <c r="C171" s="1" t="s">
        <v>23</v>
      </c>
      <c r="D171" s="3" t="s">
        <v>394</v>
      </c>
      <c r="E171" s="5">
        <v>202224</v>
      </c>
      <c r="F171" s="1">
        <v>29</v>
      </c>
    </row>
    <row r="172" spans="1:6">
      <c r="A172" s="1">
        <v>110441</v>
      </c>
      <c r="B172" s="3" t="s">
        <v>582</v>
      </c>
      <c r="C172" s="1" t="s">
        <v>16</v>
      </c>
      <c r="D172" s="3" t="s">
        <v>394</v>
      </c>
      <c r="E172" s="5">
        <v>495094</v>
      </c>
      <c r="F172" s="1">
        <v>67</v>
      </c>
    </row>
  </sheetData>
  <autoFilter ref="A1:F1" xr:uid="{746D55AD-F93D-4D58-B452-5814A015C7B5}">
    <sortState xmlns:xlrd2="http://schemas.microsoft.com/office/spreadsheetml/2017/richdata2" ref="A2:F172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Ricardo Retamal</dc:creator>
  <cp:keywords/>
  <dc:description/>
  <cp:lastModifiedBy>Pedro Arenas</cp:lastModifiedBy>
  <cp:revision/>
  <dcterms:created xsi:type="dcterms:W3CDTF">2026-07-20T15:34:22Z</dcterms:created>
  <dcterms:modified xsi:type="dcterms:W3CDTF">2026-07-22T20:13:53Z</dcterms:modified>
  <cp:category/>
  <cp:contentStatus/>
</cp:coreProperties>
</file>